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SXV06051\Desktop\Automation\TargetProcess - PBC\"/>
    </mc:Choice>
  </mc:AlternateContent>
  <xr:revisionPtr revIDLastSave="0" documentId="13_ncr:1_{0B934756-9DA1-4A9B-9843-07406BE48BC5}" xr6:coauthVersionLast="47" xr6:coauthVersionMax="47" xr10:uidLastSave="{00000000-0000-0000-0000-000000000000}"/>
  <bookViews>
    <workbookView xWindow="-110" yWindow="-110" windowWidth="19420" windowHeight="10300" tabRatio="708" xr2:uid="{00000000-000D-0000-FFFF-FFFF00000000}"/>
  </bookViews>
  <sheets>
    <sheet name="TP Import" sheetId="21" r:id="rId1"/>
    <sheet name="BC Summary US$" sheetId="1" r:id="rId2"/>
    <sheet name="Expected value" sheetId="5" r:id="rId3"/>
    <sheet name="Revenue details" sheetId="6" r:id="rId4"/>
    <sheet name="Delta method" sheetId="14" r:id="rId5"/>
    <sheet name="Financial Terms" sheetId="13" r:id="rId6"/>
    <sheet name="BC Summary US$ (EV)" sheetId="18" r:id="rId7"/>
    <sheet name="BC Summary €" sheetId="20" r:id="rId8"/>
    <sheet name="BC Summary € (EV)" sheetId="19" r:id="rId9"/>
    <sheet name="Data for KPIs" sheetId="9" r:id="rId10"/>
  </sheets>
  <functionGroups builtInGroupCount="19"/>
  <definedNames>
    <definedName name="_xlnm.Print_Area" localSheetId="7">'BC Summary €'!$A$1:$M$59</definedName>
    <definedName name="_xlnm.Print_Area" localSheetId="8">'BC Summary € (EV)'!$A$1:$M$59</definedName>
    <definedName name="_xlnm.Print_Area" localSheetId="1">'BC Summary US$'!$A$1:$M$59</definedName>
    <definedName name="_xlnm.Print_Area" localSheetId="6">'BC Summary US$ (EV)'!$A$1:$M$59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1" l="1"/>
  <c r="H2" i="21"/>
  <c r="I2" i="21"/>
  <c r="A2" i="21"/>
  <c r="F2" i="21"/>
  <c r="E2" i="21"/>
  <c r="D2" i="21"/>
  <c r="C2" i="21"/>
  <c r="B2" i="21"/>
  <c r="H13" i="19"/>
  <c r="H13" i="20"/>
  <c r="H13" i="18"/>
  <c r="H14" i="18" s="1"/>
  <c r="H12" i="18"/>
  <c r="G187" i="6"/>
  <c r="G188" i="6"/>
  <c r="K186" i="6"/>
  <c r="K187" i="6"/>
  <c r="K188" i="6"/>
  <c r="O186" i="6"/>
  <c r="O187" i="6"/>
  <c r="O188" i="6"/>
  <c r="S186" i="6"/>
  <c r="S187" i="6"/>
  <c r="S188" i="6"/>
  <c r="W186" i="6"/>
  <c r="W187" i="6"/>
  <c r="W188" i="6"/>
  <c r="AA186" i="6"/>
  <c r="AA187" i="6"/>
  <c r="AA188" i="6"/>
  <c r="AE186" i="6"/>
  <c r="AE187" i="6"/>
  <c r="AE188" i="6"/>
  <c r="AI186" i="6"/>
  <c r="AI187" i="6"/>
  <c r="AI188" i="6"/>
  <c r="AM186" i="6"/>
  <c r="AM187" i="6"/>
  <c r="AM188" i="6"/>
  <c r="AQ186" i="6"/>
  <c r="AQ187" i="6"/>
  <c r="AQ188" i="6"/>
  <c r="AU186" i="6"/>
  <c r="AU187" i="6"/>
  <c r="AU188" i="6"/>
  <c r="H14" i="20"/>
  <c r="C31" i="20" s="1"/>
  <c r="B17" i="1"/>
  <c r="E14" i="6"/>
  <c r="D31" i="20"/>
  <c r="E30" i="20"/>
  <c r="H31" i="20"/>
  <c r="I30" i="20"/>
  <c r="L31" i="20"/>
  <c r="H6" i="9"/>
  <c r="E58" i="18"/>
  <c r="B58" i="18"/>
  <c r="A58" i="18"/>
  <c r="E57" i="18"/>
  <c r="B57" i="18"/>
  <c r="A57" i="18"/>
  <c r="E56" i="18"/>
  <c r="B56" i="18"/>
  <c r="A56" i="18"/>
  <c r="E55" i="18"/>
  <c r="B55" i="18"/>
  <c r="A55" i="18"/>
  <c r="E54" i="18"/>
  <c r="B54" i="18"/>
  <c r="A54" i="18"/>
  <c r="E58" i="20"/>
  <c r="B58" i="20"/>
  <c r="A58" i="20"/>
  <c r="E57" i="20"/>
  <c r="B57" i="20"/>
  <c r="A57" i="20"/>
  <c r="E56" i="20"/>
  <c r="B56" i="20"/>
  <c r="A56" i="20"/>
  <c r="E55" i="20"/>
  <c r="B55" i="20"/>
  <c r="A55" i="20"/>
  <c r="E54" i="20"/>
  <c r="B54" i="20"/>
  <c r="A54" i="20"/>
  <c r="E56" i="19"/>
  <c r="E57" i="19"/>
  <c r="E58" i="19"/>
  <c r="E54" i="19"/>
  <c r="E55" i="19"/>
  <c r="B54" i="19"/>
  <c r="B56" i="19"/>
  <c r="B57" i="19"/>
  <c r="B58" i="19"/>
  <c r="B55" i="19"/>
  <c r="A55" i="19"/>
  <c r="A56" i="19"/>
  <c r="A57" i="19"/>
  <c r="A58" i="19"/>
  <c r="A54" i="19"/>
  <c r="H15" i="18"/>
  <c r="D45" i="18" s="1"/>
  <c r="E15" i="18"/>
  <c r="B15" i="18"/>
  <c r="K14" i="18"/>
  <c r="B14" i="18"/>
  <c r="K13" i="18"/>
  <c r="E13" i="18"/>
  <c r="B13" i="18"/>
  <c r="K12" i="18"/>
  <c r="E12" i="18"/>
  <c r="B12" i="18"/>
  <c r="E11" i="18"/>
  <c r="B11" i="18"/>
  <c r="B9" i="18"/>
  <c r="B8" i="18"/>
  <c r="I3" i="18"/>
  <c r="E2" i="18"/>
  <c r="H15" i="20"/>
  <c r="E15" i="20"/>
  <c r="B15" i="20"/>
  <c r="K14" i="20"/>
  <c r="B14" i="20"/>
  <c r="K13" i="20"/>
  <c r="E13" i="20"/>
  <c r="B13" i="20"/>
  <c r="K12" i="20"/>
  <c r="H12" i="20"/>
  <c r="E12" i="20"/>
  <c r="B12" i="20"/>
  <c r="E11" i="20"/>
  <c r="B11" i="20"/>
  <c r="B9" i="20"/>
  <c r="B8" i="20"/>
  <c r="D45" i="20"/>
  <c r="I3" i="20"/>
  <c r="E2" i="20"/>
  <c r="H14" i="19"/>
  <c r="F32" i="19" s="1"/>
  <c r="E2" i="19"/>
  <c r="I3" i="19"/>
  <c r="K13" i="19"/>
  <c r="K14" i="19"/>
  <c r="K12" i="19"/>
  <c r="H15" i="19"/>
  <c r="E15" i="19"/>
  <c r="E12" i="19"/>
  <c r="E13" i="19"/>
  <c r="E11" i="19"/>
  <c r="B17" i="19"/>
  <c r="C17" i="19"/>
  <c r="C38" i="19" s="1"/>
  <c r="B12" i="19"/>
  <c r="B13" i="19"/>
  <c r="B14" i="19"/>
  <c r="B15" i="19"/>
  <c r="B11" i="19"/>
  <c r="B8" i="19"/>
  <c r="B9" i="19"/>
  <c r="B17" i="20"/>
  <c r="C17" i="20" s="1"/>
  <c r="H12" i="19"/>
  <c r="E14" i="20"/>
  <c r="E14" i="19"/>
  <c r="D45" i="19"/>
  <c r="E31" i="19"/>
  <c r="H30" i="19"/>
  <c r="G30" i="19"/>
  <c r="I33" i="19"/>
  <c r="L33" i="19"/>
  <c r="E30" i="19"/>
  <c r="D33" i="19"/>
  <c r="B38" i="19"/>
  <c r="B17" i="18"/>
  <c r="B38" i="18" s="1"/>
  <c r="L6" i="9"/>
  <c r="D45" i="1"/>
  <c r="C1" i="9"/>
  <c r="C4" i="9" s="1"/>
  <c r="A6" i="9"/>
  <c r="E14" i="1"/>
  <c r="K6" i="9"/>
  <c r="J6" i="9"/>
  <c r="I6" i="9"/>
  <c r="B6" i="9"/>
  <c r="H14" i="1"/>
  <c r="B31" i="1" s="1"/>
  <c r="E194" i="6"/>
  <c r="I194" i="6"/>
  <c r="M194" i="6"/>
  <c r="Q194" i="6" s="1"/>
  <c r="U194" i="6" s="1"/>
  <c r="Y194" i="6" s="1"/>
  <c r="AC194" i="6" s="1"/>
  <c r="AG194" i="6" s="1"/>
  <c r="AK194" i="6" s="1"/>
  <c r="AO194" i="6" s="1"/>
  <c r="AS194" i="6" s="1"/>
  <c r="H12" i="1"/>
  <c r="J31" i="1"/>
  <c r="C32" i="1"/>
  <c r="G32" i="1"/>
  <c r="K32" i="1"/>
  <c r="D33" i="1"/>
  <c r="H33" i="1"/>
  <c r="E30" i="1"/>
  <c r="D31" i="1"/>
  <c r="H31" i="1"/>
  <c r="E32" i="1"/>
  <c r="I32" i="1"/>
  <c r="B33" i="1"/>
  <c r="G30" i="1"/>
  <c r="C31" i="1"/>
  <c r="G31" i="1"/>
  <c r="K31" i="1"/>
  <c r="D32" i="1"/>
  <c r="H32" i="1"/>
  <c r="L32" i="1"/>
  <c r="E33" i="1"/>
  <c r="I33" i="1"/>
  <c r="L30" i="1"/>
  <c r="H30" i="1"/>
  <c r="D30" i="1"/>
  <c r="L31" i="1"/>
  <c r="J33" i="1"/>
  <c r="C30" i="1"/>
  <c r="E31" i="1"/>
  <c r="I31" i="1"/>
  <c r="B32" i="1"/>
  <c r="F32" i="1"/>
  <c r="J32" i="1"/>
  <c r="C33" i="1"/>
  <c r="G33" i="1"/>
  <c r="K33" i="1"/>
  <c r="J30" i="1"/>
  <c r="F30" i="1"/>
  <c r="B30" i="1"/>
  <c r="E14" i="14"/>
  <c r="E44" i="14"/>
  <c r="I44" i="14" s="1"/>
  <c r="M44" i="14" s="1"/>
  <c r="Q44" i="14" s="1"/>
  <c r="U44" i="14" s="1"/>
  <c r="Y44" i="14" s="1"/>
  <c r="AC44" i="14" s="1"/>
  <c r="AG44" i="14" s="1"/>
  <c r="AK44" i="14" s="1"/>
  <c r="AO44" i="14" s="1"/>
  <c r="AS44" i="14" s="1"/>
  <c r="E29" i="14"/>
  <c r="I29" i="14" s="1"/>
  <c r="M29" i="14" s="1"/>
  <c r="Q29" i="14" s="1"/>
  <c r="U29" i="14" s="1"/>
  <c r="Y29" i="14" s="1"/>
  <c r="AC29" i="14" s="1"/>
  <c r="AG29" i="14" s="1"/>
  <c r="AK29" i="14" s="1"/>
  <c r="AO29" i="14" s="1"/>
  <c r="AS29" i="14" s="1"/>
  <c r="C17" i="1"/>
  <c r="D17" i="1"/>
  <c r="D38" i="1"/>
  <c r="B38" i="1"/>
  <c r="E182" i="6"/>
  <c r="I182" i="6"/>
  <c r="M182" i="6"/>
  <c r="Q182" i="6" s="1"/>
  <c r="U182" i="6" s="1"/>
  <c r="Y182" i="6" s="1"/>
  <c r="AC182" i="6" s="1"/>
  <c r="AG182" i="6" s="1"/>
  <c r="AK182" i="6" s="1"/>
  <c r="AO182" i="6" s="1"/>
  <c r="AS182" i="6" s="1"/>
  <c r="E17" i="1"/>
  <c r="F17" i="1"/>
  <c r="C38" i="1"/>
  <c r="D34" i="1"/>
  <c r="D35" i="1" s="1"/>
  <c r="H34" i="1"/>
  <c r="H35" i="1" s="1"/>
  <c r="I14" i="6"/>
  <c r="M14" i="6" s="1"/>
  <c r="Q14" i="6" s="1"/>
  <c r="U14" i="6" s="1"/>
  <c r="Y14" i="6" s="1"/>
  <c r="AC14" i="6" s="1"/>
  <c r="AG14" i="6" s="1"/>
  <c r="AK14" i="6" s="1"/>
  <c r="AO14" i="6" s="1"/>
  <c r="AS14" i="6" s="1"/>
  <c r="E38" i="1"/>
  <c r="G17" i="1"/>
  <c r="F38" i="1"/>
  <c r="G38" i="1"/>
  <c r="H17" i="1"/>
  <c r="I17" i="1"/>
  <c r="H38" i="1"/>
  <c r="I38" i="1"/>
  <c r="J17" i="1"/>
  <c r="K17" i="1"/>
  <c r="J38" i="1"/>
  <c r="L17" i="1"/>
  <c r="L38" i="1"/>
  <c r="K38" i="1"/>
  <c r="AC17" i="6"/>
  <c r="H17" i="6"/>
  <c r="AM32" i="14"/>
  <c r="AQ32" i="14"/>
  <c r="V17" i="6"/>
  <c r="AP32" i="14"/>
  <c r="Z17" i="6"/>
  <c r="AE17" i="14"/>
  <c r="AP17" i="6"/>
  <c r="N17" i="14"/>
  <c r="AB17" i="14"/>
  <c r="F17" i="6"/>
  <c r="P17" i="6"/>
  <c r="S17" i="14"/>
  <c r="AI17" i="6"/>
  <c r="U17" i="6"/>
  <c r="L17" i="6"/>
  <c r="M17" i="6"/>
  <c r="N32" i="14"/>
  <c r="AF32" i="14"/>
  <c r="E17" i="6"/>
  <c r="AC17" i="14"/>
  <c r="AB17" i="6"/>
  <c r="AU17" i="6"/>
  <c r="J17" i="6"/>
  <c r="AO17" i="6"/>
  <c r="AA17" i="6"/>
  <c r="AR17" i="6"/>
  <c r="AN32" i="14"/>
  <c r="AE17" i="6"/>
  <c r="AV17" i="6"/>
  <c r="AR17" i="14"/>
  <c r="E17" i="14"/>
  <c r="AV32" i="14"/>
  <c r="AR32" i="14"/>
  <c r="M32" i="14"/>
  <c r="N17" i="6"/>
  <c r="S17" i="6"/>
  <c r="AA17" i="14"/>
  <c r="R17" i="6"/>
  <c r="W17" i="6"/>
  <c r="G17" i="6"/>
  <c r="AJ17" i="6"/>
  <c r="O17" i="6"/>
  <c r="R32" i="14"/>
  <c r="T17" i="6"/>
  <c r="AQ17" i="6"/>
  <c r="AS17" i="6"/>
  <c r="AT17" i="6"/>
  <c r="AM17" i="6"/>
  <c r="I17" i="6"/>
  <c r="AF17" i="6"/>
  <c r="AG17" i="6"/>
  <c r="Y17" i="6"/>
  <c r="M17" i="14"/>
  <c r="L32" i="14"/>
  <c r="AL17" i="6"/>
  <c r="U32" i="14"/>
  <c r="AU17" i="14"/>
  <c r="Q17" i="6"/>
  <c r="AG17" i="14"/>
  <c r="I17" i="14"/>
  <c r="AN17" i="6"/>
  <c r="K17" i="6"/>
  <c r="AH32" i="14"/>
  <c r="X17" i="6"/>
  <c r="AD17" i="6"/>
  <c r="Q32" i="14"/>
  <c r="AK17" i="6"/>
  <c r="AH17" i="6"/>
  <c r="D17" i="20" l="1"/>
  <c r="C38" i="20"/>
  <c r="D17" i="19"/>
  <c r="D32" i="19"/>
  <c r="I32" i="19"/>
  <c r="K33" i="19"/>
  <c r="E14" i="18"/>
  <c r="J31" i="20"/>
  <c r="F31" i="20"/>
  <c r="B31" i="20"/>
  <c r="E34" i="1"/>
  <c r="E35" i="1" s="1"/>
  <c r="C17" i="18"/>
  <c r="H33" i="19"/>
  <c r="H32" i="19"/>
  <c r="B33" i="19"/>
  <c r="B38" i="20"/>
  <c r="J30" i="20"/>
  <c r="F30" i="20"/>
  <c r="B30" i="20"/>
  <c r="C32" i="19"/>
  <c r="L32" i="19"/>
  <c r="J33" i="19"/>
  <c r="I33" i="20"/>
  <c r="E33" i="20"/>
  <c r="B31" i="19"/>
  <c r="E33" i="19"/>
  <c r="D30" i="19"/>
  <c r="I31" i="20"/>
  <c r="E31" i="20"/>
  <c r="J30" i="19"/>
  <c r="C30" i="19"/>
  <c r="L30" i="19"/>
  <c r="L32" i="20"/>
  <c r="H32" i="20"/>
  <c r="D32" i="20"/>
  <c r="G34" i="1"/>
  <c r="G35" i="1" s="1"/>
  <c r="J34" i="1"/>
  <c r="J35" i="1" s="1"/>
  <c r="J31" i="19"/>
  <c r="G32" i="19"/>
  <c r="K30" i="19"/>
  <c r="I31" i="19"/>
  <c r="K33" i="20"/>
  <c r="G33" i="20"/>
  <c r="C33" i="20"/>
  <c r="B34" i="1"/>
  <c r="B30" i="19"/>
  <c r="C31" i="19"/>
  <c r="D31" i="19"/>
  <c r="B32" i="19"/>
  <c r="K32" i="20"/>
  <c r="G32" i="20"/>
  <c r="C32" i="20"/>
  <c r="C34" i="20" s="1"/>
  <c r="C35" i="20" s="1"/>
  <c r="K32" i="19"/>
  <c r="F30" i="19"/>
  <c r="H31" i="19"/>
  <c r="H34" i="19" s="1"/>
  <c r="H35" i="19" s="1"/>
  <c r="J32" i="19"/>
  <c r="K30" i="20"/>
  <c r="G30" i="20"/>
  <c r="C30" i="20"/>
  <c r="I14" i="14"/>
  <c r="M14" i="14" s="1"/>
  <c r="Q14" i="14" s="1"/>
  <c r="U14" i="14" s="1"/>
  <c r="Y14" i="14" s="1"/>
  <c r="AC14" i="14" s="1"/>
  <c r="AG14" i="14" s="1"/>
  <c r="AK14" i="14" s="1"/>
  <c r="AO14" i="14" s="1"/>
  <c r="AS14" i="14" s="1"/>
  <c r="F31" i="19"/>
  <c r="G31" i="19"/>
  <c r="L31" i="19"/>
  <c r="C33" i="19"/>
  <c r="J33" i="20"/>
  <c r="F33" i="20"/>
  <c r="B33" i="20"/>
  <c r="C34" i="1"/>
  <c r="C35" i="1" s="1"/>
  <c r="I30" i="19"/>
  <c r="I34" i="19" s="1"/>
  <c r="I35" i="19" s="1"/>
  <c r="K31" i="19"/>
  <c r="E32" i="19"/>
  <c r="E34" i="19" s="1"/>
  <c r="E35" i="19" s="1"/>
  <c r="G33" i="19"/>
  <c r="J32" i="20"/>
  <c r="F32" i="20"/>
  <c r="B32" i="20"/>
  <c r="I31" i="18"/>
  <c r="J33" i="18"/>
  <c r="D30" i="18"/>
  <c r="E32" i="18"/>
  <c r="H30" i="18"/>
  <c r="I32" i="18"/>
  <c r="L30" i="18"/>
  <c r="H31" i="18"/>
  <c r="D31" i="18"/>
  <c r="E33" i="18"/>
  <c r="I33" i="18"/>
  <c r="L31" i="18"/>
  <c r="C30" i="18"/>
  <c r="D32" i="18"/>
  <c r="G30" i="18"/>
  <c r="H32" i="18"/>
  <c r="K30" i="18"/>
  <c r="L32" i="18"/>
  <c r="H33" i="18"/>
  <c r="B30" i="18"/>
  <c r="C31" i="18"/>
  <c r="D33" i="18"/>
  <c r="G31" i="18"/>
  <c r="K31" i="18"/>
  <c r="L33" i="18"/>
  <c r="B31" i="18"/>
  <c r="C32" i="18"/>
  <c r="F30" i="18"/>
  <c r="G32" i="18"/>
  <c r="J30" i="18"/>
  <c r="K32" i="18"/>
  <c r="B32" i="18"/>
  <c r="C33" i="18"/>
  <c r="F31" i="18"/>
  <c r="G33" i="18"/>
  <c r="J31" i="18"/>
  <c r="K33" i="18"/>
  <c r="F33" i="18"/>
  <c r="B33" i="18"/>
  <c r="E30" i="18"/>
  <c r="F32" i="18"/>
  <c r="I30" i="18"/>
  <c r="J32" i="18"/>
  <c r="E31" i="18"/>
  <c r="B35" i="1"/>
  <c r="E34" i="20"/>
  <c r="E35" i="20" s="1"/>
  <c r="K30" i="1"/>
  <c r="K34" i="1" s="1"/>
  <c r="K35" i="1" s="1"/>
  <c r="I30" i="1"/>
  <c r="I34" i="1" s="1"/>
  <c r="I35" i="1" s="1"/>
  <c r="F31" i="1"/>
  <c r="F33" i="1"/>
  <c r="L33" i="1"/>
  <c r="L34" i="1" s="1"/>
  <c r="L35" i="1" s="1"/>
  <c r="L30" i="20"/>
  <c r="I32" i="20"/>
  <c r="I34" i="20" s="1"/>
  <c r="I35" i="20" s="1"/>
  <c r="H30" i="20"/>
  <c r="E32" i="20"/>
  <c r="D30" i="20"/>
  <c r="F33" i="19"/>
  <c r="L33" i="20"/>
  <c r="K31" i="20"/>
  <c r="H33" i="20"/>
  <c r="G31" i="20"/>
  <c r="D33" i="20"/>
  <c r="S21" i="14"/>
  <c r="S18" i="14"/>
  <c r="S20" i="14" s="1"/>
  <c r="N47" i="14"/>
  <c r="N21" i="14"/>
  <c r="N18" i="14"/>
  <c r="N20" i="14" s="1"/>
  <c r="AM36" i="14"/>
  <c r="AM33" i="14"/>
  <c r="AM35" i="14" s="1"/>
  <c r="U36" i="14"/>
  <c r="U33" i="14"/>
  <c r="U35" i="14" s="1"/>
  <c r="Q36" i="14"/>
  <c r="Q33" i="14"/>
  <c r="Q35" i="14" s="1"/>
  <c r="AN36" i="14"/>
  <c r="AN33" i="14"/>
  <c r="AN35" i="14" s="1"/>
  <c r="AF36" i="14"/>
  <c r="AF33" i="14"/>
  <c r="AF35" i="14" s="1"/>
  <c r="AP36" i="14"/>
  <c r="AP33" i="14"/>
  <c r="AP35" i="14" s="1"/>
  <c r="AH36" i="14"/>
  <c r="AH33" i="14"/>
  <c r="AH35" i="14" s="1"/>
  <c r="AA18" i="14"/>
  <c r="AA20" i="14" s="1"/>
  <c r="AA21" i="14"/>
  <c r="AC21" i="14"/>
  <c r="AC18" i="14"/>
  <c r="AC20" i="14" s="1"/>
  <c r="AR36" i="14"/>
  <c r="AR33" i="14"/>
  <c r="AR35" i="14" s="1"/>
  <c r="AE21" i="14"/>
  <c r="AE18" i="14"/>
  <c r="AE20" i="14" s="1"/>
  <c r="L36" i="14"/>
  <c r="L33" i="14"/>
  <c r="L35" i="14" s="1"/>
  <c r="R33" i="14"/>
  <c r="R35" i="14" s="1"/>
  <c r="R36" i="14"/>
  <c r="M36" i="14"/>
  <c r="M33" i="14"/>
  <c r="M35" i="14" s="1"/>
  <c r="E18" i="14"/>
  <c r="E20" i="14" s="1"/>
  <c r="E21" i="14"/>
  <c r="AQ33" i="14"/>
  <c r="AQ35" i="14" s="1"/>
  <c r="AQ36" i="14"/>
  <c r="AB21" i="14"/>
  <c r="AB18" i="14"/>
  <c r="AB20" i="14" s="1"/>
  <c r="I18" i="14"/>
  <c r="I20" i="14" s="1"/>
  <c r="I21" i="14"/>
  <c r="AG21" i="14"/>
  <c r="AG18" i="14"/>
  <c r="AG20" i="14" s="1"/>
  <c r="N33" i="14"/>
  <c r="N35" i="14" s="1"/>
  <c r="N36" i="14"/>
  <c r="AU18" i="14"/>
  <c r="AU20" i="14" s="1"/>
  <c r="AU21" i="14"/>
  <c r="M47" i="14"/>
  <c r="M21" i="14"/>
  <c r="M18" i="14"/>
  <c r="M20" i="14" s="1"/>
  <c r="AV33" i="14"/>
  <c r="AV35" i="14" s="1"/>
  <c r="AV36" i="14"/>
  <c r="AR18" i="14"/>
  <c r="AR20" i="14" s="1"/>
  <c r="AR47" i="14"/>
  <c r="AR21" i="14"/>
  <c r="AT188" i="6"/>
  <c r="AT187" i="6"/>
  <c r="AT186" i="6"/>
  <c r="AP188" i="6"/>
  <c r="AP187" i="6"/>
  <c r="AP186" i="6"/>
  <c r="AL188" i="6"/>
  <c r="AL187" i="6"/>
  <c r="AL186" i="6"/>
  <c r="AH188" i="6"/>
  <c r="AH187" i="6"/>
  <c r="AH186" i="6"/>
  <c r="AD188" i="6"/>
  <c r="AD187" i="6"/>
  <c r="AD186" i="6"/>
  <c r="Z188" i="6"/>
  <c r="Z187" i="6"/>
  <c r="Z186" i="6"/>
  <c r="V188" i="6"/>
  <c r="V187" i="6"/>
  <c r="V186" i="6"/>
  <c r="R188" i="6"/>
  <c r="R187" i="6"/>
  <c r="R186" i="6"/>
  <c r="N188" i="6"/>
  <c r="N187" i="6"/>
  <c r="N186" i="6"/>
  <c r="J188" i="6"/>
  <c r="J187" i="6"/>
  <c r="J186" i="6"/>
  <c r="F188" i="6"/>
  <c r="F187" i="6"/>
  <c r="F186" i="6"/>
  <c r="G186" i="6"/>
  <c r="AS188" i="6"/>
  <c r="AS187" i="6"/>
  <c r="AS186" i="6"/>
  <c r="AO188" i="6"/>
  <c r="AO187" i="6"/>
  <c r="AO186" i="6"/>
  <c r="AK188" i="6"/>
  <c r="AK187" i="6"/>
  <c r="AK186" i="6"/>
  <c r="AG188" i="6"/>
  <c r="AG187" i="6"/>
  <c r="AG186" i="6"/>
  <c r="AC188" i="6"/>
  <c r="AC187" i="6"/>
  <c r="AC186" i="6"/>
  <c r="Y188" i="6"/>
  <c r="Y187" i="6"/>
  <c r="Y186" i="6"/>
  <c r="U188" i="6"/>
  <c r="U187" i="6"/>
  <c r="U186" i="6"/>
  <c r="Q188" i="6"/>
  <c r="Q187" i="6"/>
  <c r="Q186" i="6"/>
  <c r="M188" i="6"/>
  <c r="M187" i="6"/>
  <c r="M186" i="6"/>
  <c r="I188" i="6"/>
  <c r="I187" i="6"/>
  <c r="I186" i="6"/>
  <c r="E188" i="6"/>
  <c r="E187" i="6"/>
  <c r="E186" i="6"/>
  <c r="AV188" i="6"/>
  <c r="AV187" i="6"/>
  <c r="AV186" i="6"/>
  <c r="AR188" i="6"/>
  <c r="AR187" i="6"/>
  <c r="AR186" i="6"/>
  <c r="AN188" i="6"/>
  <c r="AN187" i="6"/>
  <c r="AN186" i="6"/>
  <c r="AJ188" i="6"/>
  <c r="AJ187" i="6"/>
  <c r="AJ186" i="6"/>
  <c r="AF188" i="6"/>
  <c r="AF187" i="6"/>
  <c r="AF186" i="6"/>
  <c r="AB188" i="6"/>
  <c r="AB187" i="6"/>
  <c r="AB186" i="6"/>
  <c r="X188" i="6"/>
  <c r="X187" i="6"/>
  <c r="X186" i="6"/>
  <c r="T188" i="6"/>
  <c r="T187" i="6"/>
  <c r="T186" i="6"/>
  <c r="P188" i="6"/>
  <c r="P187" i="6"/>
  <c r="P186" i="6"/>
  <c r="L188" i="6"/>
  <c r="L187" i="6"/>
  <c r="L186" i="6"/>
  <c r="H188" i="6"/>
  <c r="H187" i="6"/>
  <c r="H186" i="6"/>
  <c r="AV21" i="6"/>
  <c r="AS21" i="6"/>
  <c r="AR21" i="6"/>
  <c r="AO21" i="6"/>
  <c r="AN21" i="6"/>
  <c r="AK21" i="6"/>
  <c r="AE21" i="6"/>
  <c r="AA21" i="6"/>
  <c r="W21" i="6"/>
  <c r="T21" i="6"/>
  <c r="Q21" i="6"/>
  <c r="O21" i="6"/>
  <c r="K21" i="6"/>
  <c r="G21" i="6"/>
  <c r="AH21" i="6"/>
  <c r="AF21" i="6"/>
  <c r="AC21" i="6"/>
  <c r="AB21" i="6"/>
  <c r="Y21" i="6"/>
  <c r="X21" i="6"/>
  <c r="U21" i="6"/>
  <c r="P21" i="6"/>
  <c r="M21" i="6"/>
  <c r="L21" i="6"/>
  <c r="I21" i="6"/>
  <c r="H21" i="6"/>
  <c r="AT21" i="6"/>
  <c r="AP21" i="6"/>
  <c r="AL21" i="6"/>
  <c r="AI21" i="6"/>
  <c r="R21" i="6"/>
  <c r="H18" i="6"/>
  <c r="H20" i="6" s="1"/>
  <c r="H24" i="6" s="1"/>
  <c r="H185" i="6" s="1"/>
  <c r="L18" i="6"/>
  <c r="L20" i="6" s="1"/>
  <c r="L24" i="6" s="1"/>
  <c r="P18" i="6"/>
  <c r="P20" i="6" s="1"/>
  <c r="P24" i="6" s="1"/>
  <c r="P185" i="6" s="1"/>
  <c r="Q18" i="6"/>
  <c r="Q20" i="6" s="1"/>
  <c r="Q24" i="6" s="1"/>
  <c r="W18" i="6"/>
  <c r="W20" i="6" s="1"/>
  <c r="W24" i="6" s="1"/>
  <c r="AB18" i="6"/>
  <c r="AB20" i="6" s="1"/>
  <c r="AB24" i="6" s="1"/>
  <c r="AD18" i="6"/>
  <c r="AD20" i="6" s="1"/>
  <c r="AD24" i="6" s="1"/>
  <c r="AD185" i="6" s="1"/>
  <c r="AG18" i="6"/>
  <c r="AG20" i="6" s="1"/>
  <c r="AG24" i="6" s="1"/>
  <c r="AG185" i="6" s="1"/>
  <c r="AM18" i="6"/>
  <c r="AM20" i="6" s="1"/>
  <c r="AM24" i="6" s="1"/>
  <c r="AO18" i="6"/>
  <c r="AO20" i="6" s="1"/>
  <c r="AO24" i="6" s="1"/>
  <c r="AU18" i="6"/>
  <c r="AU20" i="6" s="1"/>
  <c r="AU24" i="6" s="1"/>
  <c r="AU185" i="6" s="1"/>
  <c r="B37" i="19"/>
  <c r="G18" i="6"/>
  <c r="G20" i="6" s="1"/>
  <c r="G24" i="6" s="1"/>
  <c r="K18" i="6"/>
  <c r="K20" i="6" s="1"/>
  <c r="K24" i="6" s="1"/>
  <c r="O18" i="6"/>
  <c r="O20" i="6" s="1"/>
  <c r="O24" i="6" s="1"/>
  <c r="O185" i="6" s="1"/>
  <c r="T18" i="6"/>
  <c r="T20" i="6" s="1"/>
  <c r="T24" i="6" s="1"/>
  <c r="T185" i="6" s="1"/>
  <c r="V18" i="6"/>
  <c r="V20" i="6" s="1"/>
  <c r="V24" i="6" s="1"/>
  <c r="AA18" i="6"/>
  <c r="AA20" i="6" s="1"/>
  <c r="AA24" i="6" s="1"/>
  <c r="AC18" i="6"/>
  <c r="AC20" i="6" s="1"/>
  <c r="AC24" i="6" s="1"/>
  <c r="AJ18" i="6"/>
  <c r="AJ20" i="6" s="1"/>
  <c r="AJ24" i="6" s="1"/>
  <c r="AJ185" i="6" s="1"/>
  <c r="AL18" i="6"/>
  <c r="AL20" i="6" s="1"/>
  <c r="AL24" i="6" s="1"/>
  <c r="AR18" i="6"/>
  <c r="AR20" i="6" s="1"/>
  <c r="AR24" i="6" s="1"/>
  <c r="AT18" i="6"/>
  <c r="AT20" i="6" s="1"/>
  <c r="AT24" i="6" s="1"/>
  <c r="AT185" i="6" s="1"/>
  <c r="B37" i="18"/>
  <c r="E21" i="6"/>
  <c r="F18" i="6"/>
  <c r="F20" i="6" s="1"/>
  <c r="F24" i="6" s="1"/>
  <c r="J18" i="6"/>
  <c r="J20" i="6" s="1"/>
  <c r="J24" i="6" s="1"/>
  <c r="J185" i="6" s="1"/>
  <c r="N18" i="6"/>
  <c r="N20" i="6" s="1"/>
  <c r="N24" i="6" s="1"/>
  <c r="N185" i="6" s="1"/>
  <c r="S18" i="6"/>
  <c r="S20" i="6" s="1"/>
  <c r="S24" i="6" s="1"/>
  <c r="S185" i="6" s="1"/>
  <c r="U18" i="6"/>
  <c r="U20" i="6" s="1"/>
  <c r="U24" i="6" s="1"/>
  <c r="U185" i="6" s="1"/>
  <c r="Z18" i="6"/>
  <c r="Z20" i="6" s="1"/>
  <c r="Z24" i="6" s="1"/>
  <c r="Z185" i="6" s="1"/>
  <c r="AF18" i="6"/>
  <c r="AF20" i="6" s="1"/>
  <c r="AF24" i="6" s="1"/>
  <c r="AF185" i="6" s="1"/>
  <c r="AI18" i="6"/>
  <c r="AI20" i="6" s="1"/>
  <c r="AI24" i="6" s="1"/>
  <c r="AI185" i="6" s="1"/>
  <c r="AK18" i="6"/>
  <c r="AK20" i="6" s="1"/>
  <c r="AK24" i="6" s="1"/>
  <c r="AQ18" i="6"/>
  <c r="AQ20" i="6" s="1"/>
  <c r="AQ24" i="6" s="1"/>
  <c r="AQ185" i="6" s="1"/>
  <c r="AS18" i="6"/>
  <c r="AS20" i="6" s="1"/>
  <c r="AS24" i="6" s="1"/>
  <c r="B37" i="1"/>
  <c r="E18" i="6"/>
  <c r="E20" i="6" s="1"/>
  <c r="E24" i="6" s="1"/>
  <c r="I18" i="6"/>
  <c r="I20" i="6" s="1"/>
  <c r="I24" i="6" s="1"/>
  <c r="I185" i="6" s="1"/>
  <c r="M18" i="6"/>
  <c r="M20" i="6" s="1"/>
  <c r="M24" i="6" s="1"/>
  <c r="R18" i="6"/>
  <c r="R20" i="6" s="1"/>
  <c r="R24" i="6" s="1"/>
  <c r="X18" i="6"/>
  <c r="X20" i="6" s="1"/>
  <c r="X24" i="6" s="1"/>
  <c r="Y18" i="6"/>
  <c r="Y20" i="6" s="1"/>
  <c r="Y24" i="6" s="1"/>
  <c r="Y185" i="6" s="1"/>
  <c r="AE18" i="6"/>
  <c r="AE20" i="6" s="1"/>
  <c r="AE24" i="6" s="1"/>
  <c r="AE185" i="6" s="1"/>
  <c r="AH18" i="6"/>
  <c r="AH20" i="6" s="1"/>
  <c r="AH24" i="6" s="1"/>
  <c r="AH185" i="6" s="1"/>
  <c r="AN18" i="6"/>
  <c r="AN20" i="6" s="1"/>
  <c r="AN24" i="6" s="1"/>
  <c r="AP18" i="6"/>
  <c r="AP20" i="6" s="1"/>
  <c r="AP24" i="6" s="1"/>
  <c r="AP185" i="6" s="1"/>
  <c r="AV18" i="6"/>
  <c r="AV20" i="6" s="1"/>
  <c r="AV24" i="6" s="1"/>
  <c r="AV185" i="6" s="1"/>
  <c r="B37" i="20"/>
  <c r="AU21" i="6"/>
  <c r="AQ21" i="6"/>
  <c r="AM21" i="6"/>
  <c r="AJ21" i="6"/>
  <c r="AG21" i="6"/>
  <c r="AD21" i="6"/>
  <c r="Z21" i="6"/>
  <c r="V21" i="6"/>
  <c r="S21" i="6"/>
  <c r="N21" i="6"/>
  <c r="J21" i="6"/>
  <c r="F21" i="6"/>
  <c r="D4" i="9"/>
  <c r="X17" i="14"/>
  <c r="O32" i="14"/>
  <c r="AT32" i="14"/>
  <c r="H17" i="14"/>
  <c r="AV17" i="14"/>
  <c r="AA32" i="14"/>
  <c r="O17" i="14"/>
  <c r="Y17" i="14"/>
  <c r="G17" i="14"/>
  <c r="AD17" i="14"/>
  <c r="H32" i="14"/>
  <c r="W32" i="14"/>
  <c r="V32" i="14"/>
  <c r="P32" i="14"/>
  <c r="Y32" i="14"/>
  <c r="AF17" i="14"/>
  <c r="AK32" i="14"/>
  <c r="AL17" i="14"/>
  <c r="S32" i="14"/>
  <c r="AP17" i="14"/>
  <c r="R17" i="14"/>
  <c r="AK17" i="14"/>
  <c r="AC32" i="14"/>
  <c r="K32" i="14"/>
  <c r="AE32" i="14"/>
  <c r="T17" i="14"/>
  <c r="AM17" i="14"/>
  <c r="AL32" i="14"/>
  <c r="U17" i="14"/>
  <c r="AJ32" i="14"/>
  <c r="K17" i="14"/>
  <c r="Z32" i="14"/>
  <c r="AO32" i="14"/>
  <c r="AN17" i="14"/>
  <c r="AG32" i="14"/>
  <c r="AI17" i="14"/>
  <c r="AT17" i="14"/>
  <c r="W17" i="14"/>
  <c r="Q17" i="14"/>
  <c r="AS32" i="14"/>
  <c r="AB32" i="14"/>
  <c r="V17" i="14"/>
  <c r="AS17" i="14"/>
  <c r="J17" i="14"/>
  <c r="L17" i="14"/>
  <c r="AI32" i="14"/>
  <c r="F17" i="14"/>
  <c r="F32" i="14"/>
  <c r="P17" i="14"/>
  <c r="T32" i="14"/>
  <c r="AQ17" i="14"/>
  <c r="AJ17" i="14"/>
  <c r="AO17" i="14"/>
  <c r="AD32" i="14"/>
  <c r="AU32" i="14"/>
  <c r="E32" i="14"/>
  <c r="AH17" i="14"/>
  <c r="G32" i="14"/>
  <c r="J32" i="14"/>
  <c r="X32" i="14"/>
  <c r="I32" i="14"/>
  <c r="Z17" i="14"/>
  <c r="AE47" i="14" l="1"/>
  <c r="AV18" i="14"/>
  <c r="AV20" i="14" s="1"/>
  <c r="AO21" i="14"/>
  <c r="AO18" i="14"/>
  <c r="AO20" i="14" s="1"/>
  <c r="I47" i="14"/>
  <c r="L21" i="14"/>
  <c r="G36" i="14"/>
  <c r="AS18" i="14"/>
  <c r="AS20" i="14" s="1"/>
  <c r="R21" i="14"/>
  <c r="AS36" i="14"/>
  <c r="AG36" i="14"/>
  <c r="AM21" i="14"/>
  <c r="P33" i="14"/>
  <c r="P35" i="14" s="1"/>
  <c r="AD18" i="14"/>
  <c r="AI36" i="14"/>
  <c r="AQ18" i="14"/>
  <c r="AQ20" i="14" s="1"/>
  <c r="AJ36" i="14"/>
  <c r="AH47" i="14"/>
  <c r="AH51" i="14" s="1"/>
  <c r="Q18" i="14"/>
  <c r="Q20" i="14" s="1"/>
  <c r="AN18" i="14"/>
  <c r="AN20" i="14" s="1"/>
  <c r="AL18" i="14"/>
  <c r="AL20" i="14" s="1"/>
  <c r="T18" i="14"/>
  <c r="T20" i="14" s="1"/>
  <c r="G18" i="14"/>
  <c r="G20" i="14" s="1"/>
  <c r="AT33" i="14"/>
  <c r="AT35" i="14" s="1"/>
  <c r="Z18" i="14"/>
  <c r="AC33" i="14"/>
  <c r="E36" i="14"/>
  <c r="P18" i="14"/>
  <c r="P20" i="14" s="1"/>
  <c r="AP47" i="14"/>
  <c r="AP51" i="14" s="1"/>
  <c r="W21" i="14"/>
  <c r="AK36" i="14"/>
  <c r="V33" i="14"/>
  <c r="V35" i="14" s="1"/>
  <c r="Y21" i="14"/>
  <c r="O36" i="14"/>
  <c r="K36" i="14"/>
  <c r="T36" i="14"/>
  <c r="J18" i="14"/>
  <c r="AU36" i="14"/>
  <c r="F33" i="14"/>
  <c r="F35" i="14" s="1"/>
  <c r="AB33" i="14"/>
  <c r="AB35" i="14" s="1"/>
  <c r="AT21" i="14"/>
  <c r="Z36" i="14"/>
  <c r="U47" i="14"/>
  <c r="U51" i="14" s="1"/>
  <c r="W36" i="14"/>
  <c r="O18" i="14"/>
  <c r="O20" i="14" s="1"/>
  <c r="X18" i="14"/>
  <c r="X20" i="14" s="1"/>
  <c r="AJ18" i="14"/>
  <c r="AJ20" i="14" s="1"/>
  <c r="J36" i="14"/>
  <c r="AL36" i="14"/>
  <c r="AD33" i="14"/>
  <c r="AD35" i="14" s="1"/>
  <c r="F18" i="14"/>
  <c r="S36" i="14"/>
  <c r="AI18" i="14"/>
  <c r="AI20" i="14" s="1"/>
  <c r="K18" i="14"/>
  <c r="K20" i="14" s="1"/>
  <c r="AF18" i="14"/>
  <c r="AF20" i="14" s="1"/>
  <c r="H33" i="14"/>
  <c r="H35" i="14" s="1"/>
  <c r="AA36" i="14"/>
  <c r="AM18" i="14"/>
  <c r="AM20" i="14" s="1"/>
  <c r="AL21" i="14"/>
  <c r="T21" i="14"/>
  <c r="AF21" i="14"/>
  <c r="AF47" i="14"/>
  <c r="AF48" i="14" s="1"/>
  <c r="AF50" i="14" s="1"/>
  <c r="T33" i="14"/>
  <c r="T35" i="14" s="1"/>
  <c r="AO47" i="14"/>
  <c r="AO48" i="14" s="1"/>
  <c r="AO50" i="14" s="1"/>
  <c r="AC47" i="14"/>
  <c r="AC51" i="14" s="1"/>
  <c r="H36" i="14"/>
  <c r="AA47" i="14"/>
  <c r="AA48" i="14" s="1"/>
  <c r="AA50" i="14" s="1"/>
  <c r="AA33" i="14"/>
  <c r="AA35" i="14" s="1"/>
  <c r="AT18" i="14"/>
  <c r="AT20" i="14" s="1"/>
  <c r="AM47" i="14"/>
  <c r="AM48" i="14" s="1"/>
  <c r="AM50" i="14" s="1"/>
  <c r="E33" i="14"/>
  <c r="E35" i="14" s="1"/>
  <c r="AL47" i="14"/>
  <c r="AL48" i="14" s="1"/>
  <c r="AL50" i="14" s="1"/>
  <c r="X21" i="14"/>
  <c r="H47" i="14"/>
  <c r="H48" i="14" s="1"/>
  <c r="H50" i="14" s="1"/>
  <c r="V36" i="14"/>
  <c r="Y18" i="14"/>
  <c r="Y20" i="14" s="1"/>
  <c r="AT47" i="14"/>
  <c r="AT48" i="14" s="1"/>
  <c r="AT50" i="14" s="1"/>
  <c r="AD36" i="14"/>
  <c r="K21" i="14"/>
  <c r="AU33" i="14"/>
  <c r="AU35" i="14" s="1"/>
  <c r="E47" i="14"/>
  <c r="E51" i="14" s="1"/>
  <c r="O33" i="14"/>
  <c r="O35" i="14" s="1"/>
  <c r="AL33" i="14"/>
  <c r="AL35" i="14" s="1"/>
  <c r="AB36" i="14"/>
  <c r="Z33" i="14"/>
  <c r="Z35" i="14" s="1"/>
  <c r="J47" i="14"/>
  <c r="J51" i="14" s="1"/>
  <c r="Z21" i="14"/>
  <c r="AT36" i="14"/>
  <c r="AO36" i="14"/>
  <c r="AH21" i="14"/>
  <c r="J33" i="14"/>
  <c r="J35" i="14" s="1"/>
  <c r="AN47" i="14"/>
  <c r="AN48" i="14" s="1"/>
  <c r="AN50" i="14" s="1"/>
  <c r="AK33" i="14"/>
  <c r="AK35" i="14" s="1"/>
  <c r="Y47" i="14"/>
  <c r="Y48" i="14" s="1"/>
  <c r="Y50" i="14" s="1"/>
  <c r="AK47" i="14"/>
  <c r="AK48" i="14" s="1"/>
  <c r="AK50" i="14" s="1"/>
  <c r="F36" i="14"/>
  <c r="AJ21" i="14"/>
  <c r="P21" i="14"/>
  <c r="G21" i="14"/>
  <c r="V47" i="14"/>
  <c r="V48" i="14" s="1"/>
  <c r="V50" i="14" s="1"/>
  <c r="AQ47" i="14"/>
  <c r="AQ48" i="14" s="1"/>
  <c r="AQ50" i="14" s="1"/>
  <c r="I36" i="14"/>
  <c r="T47" i="14"/>
  <c r="T48" i="14" s="1"/>
  <c r="T50" i="14" s="1"/>
  <c r="AQ21" i="14"/>
  <c r="O47" i="14"/>
  <c r="O48" i="14" s="1"/>
  <c r="O50" i="14" s="1"/>
  <c r="AS47" i="14"/>
  <c r="AS51" i="14" s="1"/>
  <c r="P36" i="14"/>
  <c r="AH18" i="14"/>
  <c r="AH20" i="14" s="1"/>
  <c r="AI33" i="14"/>
  <c r="AI35" i="14" s="1"/>
  <c r="AU47" i="14"/>
  <c r="AU51" i="14" s="1"/>
  <c r="O21" i="14"/>
  <c r="AS21" i="14"/>
  <c r="AB47" i="14"/>
  <c r="AB51" i="14" s="1"/>
  <c r="W18" i="14"/>
  <c r="W20" i="14" s="1"/>
  <c r="Z47" i="14"/>
  <c r="Z48" i="14" s="1"/>
  <c r="Z50" i="14" s="1"/>
  <c r="G47" i="14"/>
  <c r="G51" i="14" s="1"/>
  <c r="X47" i="14"/>
  <c r="X51" i="14" s="1"/>
  <c r="AC35" i="14"/>
  <c r="AK21" i="14"/>
  <c r="J21" i="14"/>
  <c r="V21" i="14"/>
  <c r="AO33" i="14"/>
  <c r="AO35" i="14" s="1"/>
  <c r="Y33" i="14"/>
  <c r="Y35" i="14" s="1"/>
  <c r="AK18" i="14"/>
  <c r="AK20" i="14" s="1"/>
  <c r="AE33" i="14"/>
  <c r="AE35" i="14" s="1"/>
  <c r="V18" i="14"/>
  <c r="V20" i="14" s="1"/>
  <c r="K47" i="14"/>
  <c r="K48" i="14" s="1"/>
  <c r="K50" i="14" s="1"/>
  <c r="Y36" i="14"/>
  <c r="AP18" i="14"/>
  <c r="AP20" i="14" s="1"/>
  <c r="F20" i="14"/>
  <c r="AN21" i="14"/>
  <c r="AE36" i="14"/>
  <c r="K33" i="14"/>
  <c r="K35" i="14" s="1"/>
  <c r="S47" i="14"/>
  <c r="S48" i="14" s="1"/>
  <c r="S50" i="14" s="1"/>
  <c r="W47" i="14"/>
  <c r="W51" i="14" s="1"/>
  <c r="R47" i="14"/>
  <c r="R48" i="14" s="1"/>
  <c r="R50" i="14" s="1"/>
  <c r="AP21" i="14"/>
  <c r="F47" i="14"/>
  <c r="F48" i="14" s="1"/>
  <c r="F50" i="14" s="1"/>
  <c r="H21" i="14"/>
  <c r="R18" i="14"/>
  <c r="R20" i="14" s="1"/>
  <c r="AG33" i="14"/>
  <c r="AG35" i="14" s="1"/>
  <c r="F21" i="14"/>
  <c r="H18" i="14"/>
  <c r="H20" i="14" s="1"/>
  <c r="AV21" i="14"/>
  <c r="U21" i="14"/>
  <c r="AV47" i="14"/>
  <c r="AV51" i="14" s="1"/>
  <c r="AD47" i="14"/>
  <c r="AD51" i="14" s="1"/>
  <c r="Q47" i="14"/>
  <c r="Q48" i="14" s="1"/>
  <c r="Q50" i="14" s="1"/>
  <c r="AS33" i="14"/>
  <c r="AS35" i="14" s="1"/>
  <c r="Z20" i="14"/>
  <c r="AG47" i="14"/>
  <c r="AG51" i="14" s="1"/>
  <c r="AD21" i="14"/>
  <c r="W33" i="14"/>
  <c r="W35" i="14" s="1"/>
  <c r="Q21" i="14"/>
  <c r="L18" i="14"/>
  <c r="L20" i="14" s="1"/>
  <c r="U18" i="14"/>
  <c r="U20" i="14" s="1"/>
  <c r="J20" i="14"/>
  <c r="S33" i="14"/>
  <c r="S35" i="14" s="1"/>
  <c r="AD20" i="14"/>
  <c r="X33" i="14"/>
  <c r="X35" i="14" s="1"/>
  <c r="G33" i="14"/>
  <c r="G35" i="14" s="1"/>
  <c r="AJ33" i="14"/>
  <c r="AJ35" i="14" s="1"/>
  <c r="AC36" i="14"/>
  <c r="AJ47" i="14"/>
  <c r="AJ51" i="14" s="1"/>
  <c r="X36" i="14"/>
  <c r="P47" i="14"/>
  <c r="P48" i="14" s="1"/>
  <c r="P50" i="14" s="1"/>
  <c r="AI21" i="14"/>
  <c r="J34" i="19"/>
  <c r="J35" i="19" s="1"/>
  <c r="G34" i="20"/>
  <c r="G35" i="20" s="1"/>
  <c r="I33" i="14"/>
  <c r="I35" i="14" s="1"/>
  <c r="K34" i="20"/>
  <c r="K35" i="20" s="1"/>
  <c r="D34" i="19"/>
  <c r="D35" i="19" s="1"/>
  <c r="B34" i="20"/>
  <c r="B35" i="20" s="1"/>
  <c r="F34" i="19"/>
  <c r="F34" i="20"/>
  <c r="F35" i="20" s="1"/>
  <c r="L47" i="14"/>
  <c r="L51" i="14" s="1"/>
  <c r="J34" i="20"/>
  <c r="J35" i="20" s="1"/>
  <c r="AI47" i="14"/>
  <c r="AI51" i="14" s="1"/>
  <c r="B34" i="19"/>
  <c r="B35" i="19" s="1"/>
  <c r="B46" i="19" s="1"/>
  <c r="H34" i="20"/>
  <c r="H35" i="20" s="1"/>
  <c r="D38" i="19"/>
  <c r="E17" i="19"/>
  <c r="J34" i="18"/>
  <c r="J35" i="18" s="1"/>
  <c r="L34" i="19"/>
  <c r="L35" i="19" s="1"/>
  <c r="K34" i="18"/>
  <c r="K35" i="18" s="1"/>
  <c r="K34" i="19"/>
  <c r="K35" i="19" s="1"/>
  <c r="C34" i="19"/>
  <c r="C35" i="19" s="1"/>
  <c r="E34" i="18"/>
  <c r="E35" i="18" s="1"/>
  <c r="G34" i="19"/>
  <c r="G35" i="19" s="1"/>
  <c r="D17" i="18"/>
  <c r="C38" i="18"/>
  <c r="D38" i="20"/>
  <c r="E17" i="20"/>
  <c r="AN189" i="6"/>
  <c r="AN185" i="6"/>
  <c r="X189" i="6"/>
  <c r="X185" i="6"/>
  <c r="F20" i="20" s="1"/>
  <c r="R189" i="6"/>
  <c r="R185" i="6"/>
  <c r="M189" i="6"/>
  <c r="M185" i="6"/>
  <c r="D20" i="20" s="1"/>
  <c r="E189" i="6"/>
  <c r="B25" i="20" s="1"/>
  <c r="E185" i="6"/>
  <c r="AS189" i="6"/>
  <c r="AS185" i="6"/>
  <c r="AK189" i="6"/>
  <c r="AK185" i="6"/>
  <c r="J20" i="20" s="1"/>
  <c r="F189" i="6"/>
  <c r="F185" i="6"/>
  <c r="B20" i="19" s="1"/>
  <c r="AR189" i="6"/>
  <c r="AR185" i="6"/>
  <c r="AL189" i="6"/>
  <c r="AL185" i="6"/>
  <c r="AC189" i="6"/>
  <c r="AC185" i="6"/>
  <c r="AA189" i="6"/>
  <c r="AA185" i="6"/>
  <c r="V189" i="6"/>
  <c r="V185" i="6"/>
  <c r="K189" i="6"/>
  <c r="K185" i="6"/>
  <c r="C20" i="19" s="1"/>
  <c r="G189" i="6"/>
  <c r="G185" i="6"/>
  <c r="AO189" i="6"/>
  <c r="AO185" i="6"/>
  <c r="AM189" i="6"/>
  <c r="AM185" i="6"/>
  <c r="AB189" i="6"/>
  <c r="AB185" i="6"/>
  <c r="W189" i="6"/>
  <c r="W185" i="6"/>
  <c r="F20" i="18" s="1"/>
  <c r="Q189" i="6"/>
  <c r="Q185" i="6"/>
  <c r="E20" i="20" s="1"/>
  <c r="L189" i="6"/>
  <c r="L185" i="6"/>
  <c r="F35" i="19"/>
  <c r="L34" i="20"/>
  <c r="L35" i="20" s="1"/>
  <c r="G34" i="18"/>
  <c r="G35" i="18" s="1"/>
  <c r="L34" i="18"/>
  <c r="L35" i="18" s="1"/>
  <c r="C34" i="18"/>
  <c r="C35" i="18" s="1"/>
  <c r="H34" i="18"/>
  <c r="H35" i="18" s="1"/>
  <c r="F34" i="18"/>
  <c r="F35" i="18" s="1"/>
  <c r="B34" i="18"/>
  <c r="D34" i="20"/>
  <c r="F34" i="1"/>
  <c r="D34" i="18"/>
  <c r="D35" i="18" s="1"/>
  <c r="I34" i="18"/>
  <c r="I35" i="18" s="1"/>
  <c r="I48" i="14"/>
  <c r="I50" i="14" s="1"/>
  <c r="I51" i="14"/>
  <c r="AH48" i="14"/>
  <c r="AH50" i="14" s="1"/>
  <c r="N48" i="14"/>
  <c r="N50" i="14" s="1"/>
  <c r="N51" i="14"/>
  <c r="AE48" i="14"/>
  <c r="AE50" i="14" s="1"/>
  <c r="AE51" i="14"/>
  <c r="AR48" i="14"/>
  <c r="AR50" i="14" s="1"/>
  <c r="AR51" i="14"/>
  <c r="M48" i="14"/>
  <c r="M50" i="14" s="1"/>
  <c r="M51" i="14"/>
  <c r="K24" i="20"/>
  <c r="F24" i="1"/>
  <c r="E24" i="18"/>
  <c r="G24" i="19"/>
  <c r="J24" i="18"/>
  <c r="L24" i="19"/>
  <c r="D23" i="19"/>
  <c r="E23" i="20"/>
  <c r="G23" i="1"/>
  <c r="I23" i="1"/>
  <c r="J23" i="1"/>
  <c r="L23" i="18"/>
  <c r="AH189" i="6"/>
  <c r="AI189" i="6"/>
  <c r="H189" i="6"/>
  <c r="AV189" i="6"/>
  <c r="AE189" i="6"/>
  <c r="AF189" i="6"/>
  <c r="N189" i="6"/>
  <c r="AJ189" i="6"/>
  <c r="T189" i="6"/>
  <c r="AG189" i="6"/>
  <c r="B23" i="1"/>
  <c r="C23" i="20"/>
  <c r="D23" i="1"/>
  <c r="U189" i="6"/>
  <c r="F25" i="19" s="1"/>
  <c r="S189" i="6"/>
  <c r="AP189" i="6"/>
  <c r="Y189" i="6"/>
  <c r="I189" i="6"/>
  <c r="AQ189" i="6"/>
  <c r="Z189" i="6"/>
  <c r="J189" i="6"/>
  <c r="AT189" i="6"/>
  <c r="O189" i="6"/>
  <c r="AU189" i="6"/>
  <c r="AD189" i="6"/>
  <c r="P189" i="6"/>
  <c r="B24" i="1"/>
  <c r="C24" i="18"/>
  <c r="D24" i="1"/>
  <c r="E24" i="19"/>
  <c r="F24" i="18"/>
  <c r="G24" i="18"/>
  <c r="H24" i="20"/>
  <c r="I24" i="1"/>
  <c r="J24" i="19"/>
  <c r="K24" i="19"/>
  <c r="L24" i="20"/>
  <c r="N25" i="6"/>
  <c r="N192" i="6" s="1"/>
  <c r="AD25" i="6"/>
  <c r="AD192" i="6" s="1"/>
  <c r="R25" i="6"/>
  <c r="R192" i="6" s="1"/>
  <c r="Y25" i="6"/>
  <c r="Y192" i="6" s="1"/>
  <c r="Q25" i="6"/>
  <c r="Q192" i="6" s="1"/>
  <c r="AE25" i="6"/>
  <c r="AE192" i="6" s="1"/>
  <c r="D23" i="18"/>
  <c r="F24" i="20"/>
  <c r="D24" i="19"/>
  <c r="E24" i="1"/>
  <c r="K24" i="18"/>
  <c r="S25" i="6"/>
  <c r="S192" i="6" s="1"/>
  <c r="AQ25" i="6"/>
  <c r="AQ192" i="6" s="1"/>
  <c r="B24" i="20"/>
  <c r="H24" i="19"/>
  <c r="D24" i="20"/>
  <c r="J25" i="6"/>
  <c r="J192" i="6" s="1"/>
  <c r="V25" i="6"/>
  <c r="V192" i="6" s="1"/>
  <c r="AU25" i="6"/>
  <c r="AU192" i="6" s="1"/>
  <c r="AL25" i="6"/>
  <c r="AL192" i="6" s="1"/>
  <c r="U25" i="6"/>
  <c r="U192" i="6" s="1"/>
  <c r="AC25" i="6"/>
  <c r="AC192" i="6" s="1"/>
  <c r="K25" i="6"/>
  <c r="K192" i="6" s="1"/>
  <c r="W25" i="6"/>
  <c r="W192" i="6" s="1"/>
  <c r="AN25" i="6"/>
  <c r="AN192" i="6" s="1"/>
  <c r="AV25" i="6"/>
  <c r="AV192" i="6" s="1"/>
  <c r="C23" i="18"/>
  <c r="L20" i="18"/>
  <c r="B21" i="19"/>
  <c r="C21" i="20"/>
  <c r="D21" i="1"/>
  <c r="E21" i="20"/>
  <c r="F21" i="1"/>
  <c r="G21" i="1"/>
  <c r="H21" i="1"/>
  <c r="I21" i="18"/>
  <c r="J21" i="19"/>
  <c r="K21" i="18"/>
  <c r="L21" i="20"/>
  <c r="B24" i="19"/>
  <c r="B24" i="18"/>
  <c r="F25" i="6"/>
  <c r="F192" i="6" s="1"/>
  <c r="AG25" i="6"/>
  <c r="AG192" i="6" s="1"/>
  <c r="G23" i="19"/>
  <c r="I25" i="6"/>
  <c r="I192" i="6" s="1"/>
  <c r="J24" i="20"/>
  <c r="D24" i="18"/>
  <c r="Z25" i="6"/>
  <c r="Z192" i="6" s="1"/>
  <c r="AJ25" i="6"/>
  <c r="AJ192" i="6" s="1"/>
  <c r="E25" i="6"/>
  <c r="E192" i="6" s="1"/>
  <c r="AP25" i="6"/>
  <c r="AP192" i="6" s="1"/>
  <c r="L25" i="6"/>
  <c r="L192" i="6" s="1"/>
  <c r="X25" i="6"/>
  <c r="X192" i="6" s="1"/>
  <c r="AF25" i="6"/>
  <c r="AF192" i="6" s="1"/>
  <c r="O25" i="6"/>
  <c r="O192" i="6" s="1"/>
  <c r="AA25" i="6"/>
  <c r="AA192" i="6" s="1"/>
  <c r="AO25" i="6"/>
  <c r="AO192" i="6" s="1"/>
  <c r="B23" i="20"/>
  <c r="C23" i="19"/>
  <c r="D23" i="20"/>
  <c r="E23" i="19"/>
  <c r="F23" i="19"/>
  <c r="G23" i="20"/>
  <c r="H23" i="20"/>
  <c r="I23" i="18"/>
  <c r="J23" i="20"/>
  <c r="K23" i="20"/>
  <c r="L23" i="1"/>
  <c r="AM25" i="6"/>
  <c r="AM192" i="6" s="1"/>
  <c r="AT25" i="6"/>
  <c r="AT192" i="6" s="1"/>
  <c r="M25" i="6"/>
  <c r="M192" i="6" s="1"/>
  <c r="AH25" i="6"/>
  <c r="AH192" i="6" s="1"/>
  <c r="AR25" i="6"/>
  <c r="AR192" i="6" s="1"/>
  <c r="AI25" i="6"/>
  <c r="AI192" i="6" s="1"/>
  <c r="H25" i="6"/>
  <c r="H192" i="6" s="1"/>
  <c r="P25" i="6"/>
  <c r="P192" i="6" s="1"/>
  <c r="AB25" i="6"/>
  <c r="AB192" i="6" s="1"/>
  <c r="G25" i="6"/>
  <c r="G192" i="6" s="1"/>
  <c r="T25" i="6"/>
  <c r="T192" i="6" s="1"/>
  <c r="AK25" i="6"/>
  <c r="AK192" i="6" s="1"/>
  <c r="AS25" i="6"/>
  <c r="AS192" i="6" s="1"/>
  <c r="L20" i="19"/>
  <c r="H23" i="19"/>
  <c r="I23" i="19"/>
  <c r="E23" i="18"/>
  <c r="J23" i="19"/>
  <c r="H23" i="1"/>
  <c r="H23" i="18"/>
  <c r="L24" i="1"/>
  <c r="F24" i="19"/>
  <c r="H24" i="18"/>
  <c r="I24" i="18"/>
  <c r="H24" i="1"/>
  <c r="L24" i="18"/>
  <c r="G23" i="18"/>
  <c r="K23" i="1"/>
  <c r="I24" i="19"/>
  <c r="H21" i="19"/>
  <c r="J23" i="18"/>
  <c r="B23" i="18"/>
  <c r="F23" i="18"/>
  <c r="I23" i="20"/>
  <c r="K23" i="19"/>
  <c r="K23" i="18"/>
  <c r="C23" i="1"/>
  <c r="L23" i="19"/>
  <c r="E23" i="1"/>
  <c r="F23" i="20"/>
  <c r="F23" i="1"/>
  <c r="L23" i="20"/>
  <c r="C24" i="1"/>
  <c r="E24" i="20"/>
  <c r="G24" i="1"/>
  <c r="I24" i="20"/>
  <c r="J24" i="1"/>
  <c r="K24" i="1"/>
  <c r="K21" i="19"/>
  <c r="B23" i="19"/>
  <c r="E20" i="18"/>
  <c r="D21" i="18"/>
  <c r="G21" i="19"/>
  <c r="L20" i="1"/>
  <c r="G20" i="20"/>
  <c r="H20" i="1"/>
  <c r="I20" i="1"/>
  <c r="G24" i="20"/>
  <c r="K21" i="1"/>
  <c r="L21" i="1"/>
  <c r="B21" i="20"/>
  <c r="C21" i="18"/>
  <c r="F21" i="18"/>
  <c r="C24" i="20"/>
  <c r="I21" i="1"/>
  <c r="D21" i="20"/>
  <c r="G20" i="1"/>
  <c r="G20" i="19"/>
  <c r="I21" i="19"/>
  <c r="C21" i="19"/>
  <c r="I20" i="19"/>
  <c r="G20" i="18"/>
  <c r="L20" i="20"/>
  <c r="J21" i="18"/>
  <c r="L21" i="18"/>
  <c r="C21" i="1"/>
  <c r="L21" i="19"/>
  <c r="C24" i="19"/>
  <c r="E21" i="1"/>
  <c r="I20" i="20"/>
  <c r="D21" i="19"/>
  <c r="I21" i="20"/>
  <c r="F21" i="19"/>
  <c r="K21" i="20"/>
  <c r="H20" i="19"/>
  <c r="J21" i="1"/>
  <c r="E21" i="18"/>
  <c r="E21" i="19"/>
  <c r="H21" i="20"/>
  <c r="B21" i="1"/>
  <c r="H21" i="18"/>
  <c r="J21" i="20"/>
  <c r="G21" i="20"/>
  <c r="I20" i="18"/>
  <c r="F21" i="20"/>
  <c r="B21" i="18"/>
  <c r="G21" i="18"/>
  <c r="H20" i="20"/>
  <c r="H20" i="18"/>
  <c r="E4" i="9"/>
  <c r="C20" i="18" l="1"/>
  <c r="C20" i="1"/>
  <c r="B20" i="1"/>
  <c r="C20" i="20"/>
  <c r="B20" i="18"/>
  <c r="F20" i="19"/>
  <c r="B20" i="20"/>
  <c r="B19" i="20" s="1"/>
  <c r="C25" i="19"/>
  <c r="C22" i="19" s="1"/>
  <c r="AP48" i="14"/>
  <c r="AP50" i="14" s="1"/>
  <c r="F20" i="1"/>
  <c r="F19" i="1" s="1"/>
  <c r="D20" i="1"/>
  <c r="D19" i="1" s="1"/>
  <c r="E20" i="19"/>
  <c r="E19" i="19" s="1"/>
  <c r="E20" i="1"/>
  <c r="D20" i="18"/>
  <c r="AL51" i="14"/>
  <c r="U48" i="14"/>
  <c r="U50" i="14" s="1"/>
  <c r="G25" i="1"/>
  <c r="AM51" i="14"/>
  <c r="J25" i="18"/>
  <c r="J22" i="18" s="1"/>
  <c r="B25" i="18"/>
  <c r="K20" i="1"/>
  <c r="K19" i="1" s="1"/>
  <c r="J20" i="18"/>
  <c r="AO51" i="14"/>
  <c r="AF51" i="14"/>
  <c r="AT51" i="14"/>
  <c r="AA51" i="14"/>
  <c r="AC48" i="14"/>
  <c r="AC50" i="14" s="1"/>
  <c r="J48" i="14"/>
  <c r="J50" i="14" s="1"/>
  <c r="H51" i="14"/>
  <c r="AB48" i="14"/>
  <c r="AB50" i="14" s="1"/>
  <c r="V51" i="14"/>
  <c r="AD48" i="14"/>
  <c r="AD50" i="14" s="1"/>
  <c r="R51" i="14"/>
  <c r="AV48" i="14"/>
  <c r="AV50" i="14" s="1"/>
  <c r="T51" i="14"/>
  <c r="AN51" i="14"/>
  <c r="E48" i="14"/>
  <c r="E50" i="14" s="1"/>
  <c r="G48" i="14"/>
  <c r="G50" i="14" s="1"/>
  <c r="F51" i="14"/>
  <c r="O51" i="14"/>
  <c r="X48" i="14"/>
  <c r="X50" i="14" s="1"/>
  <c r="AQ51" i="14"/>
  <c r="Y51" i="14"/>
  <c r="AU48" i="14"/>
  <c r="AU50" i="14" s="1"/>
  <c r="P51" i="14"/>
  <c r="AK51" i="14"/>
  <c r="Z51" i="14"/>
  <c r="AS48" i="14"/>
  <c r="AS50" i="14" s="1"/>
  <c r="Q51" i="14"/>
  <c r="W48" i="14"/>
  <c r="W50" i="14" s="1"/>
  <c r="K51" i="14"/>
  <c r="S51" i="14"/>
  <c r="L48" i="14"/>
  <c r="L50" i="14" s="1"/>
  <c r="AJ48" i="14"/>
  <c r="AJ50" i="14" s="1"/>
  <c r="AG48" i="14"/>
  <c r="AG50" i="14" s="1"/>
  <c r="C25" i="20"/>
  <c r="C22" i="20" s="1"/>
  <c r="K20" i="20"/>
  <c r="K19" i="20" s="1"/>
  <c r="J20" i="1"/>
  <c r="D38" i="18"/>
  <c r="E17" i="18"/>
  <c r="M34" i="19"/>
  <c r="D20" i="19"/>
  <c r="D19" i="19" s="1"/>
  <c r="J20" i="19"/>
  <c r="J19" i="19" s="1"/>
  <c r="M35" i="19"/>
  <c r="J25" i="19"/>
  <c r="K20" i="18"/>
  <c r="K19" i="18" s="1"/>
  <c r="J25" i="20"/>
  <c r="J22" i="20" s="1"/>
  <c r="K20" i="19"/>
  <c r="K19" i="19" s="1"/>
  <c r="B25" i="1"/>
  <c r="B22" i="1" s="1"/>
  <c r="B25" i="19"/>
  <c r="B22" i="19" s="1"/>
  <c r="C25" i="1"/>
  <c r="C22" i="1" s="1"/>
  <c r="E38" i="20"/>
  <c r="F17" i="20"/>
  <c r="F17" i="19"/>
  <c r="E38" i="19"/>
  <c r="J25" i="1"/>
  <c r="J22" i="1" s="1"/>
  <c r="AI48" i="14"/>
  <c r="AI50" i="14" s="1"/>
  <c r="F35" i="1"/>
  <c r="M34" i="1"/>
  <c r="O6" i="9"/>
  <c r="D35" i="20"/>
  <c r="M34" i="20"/>
  <c r="B35" i="18"/>
  <c r="M34" i="18"/>
  <c r="F25" i="20"/>
  <c r="G25" i="18"/>
  <c r="E25" i="20"/>
  <c r="E22" i="20" s="1"/>
  <c r="E25" i="19"/>
  <c r="E22" i="19" s="1"/>
  <c r="B19" i="19"/>
  <c r="E25" i="18"/>
  <c r="H19" i="19"/>
  <c r="G25" i="20"/>
  <c r="G22" i="20" s="1"/>
  <c r="H19" i="1"/>
  <c r="E25" i="1"/>
  <c r="E22" i="1" s="1"/>
  <c r="G25" i="19"/>
  <c r="G22" i="19" s="1"/>
  <c r="F25" i="1"/>
  <c r="F22" i="1" s="1"/>
  <c r="B22" i="20"/>
  <c r="H25" i="1"/>
  <c r="H22" i="1" s="1"/>
  <c r="F25" i="18"/>
  <c r="F22" i="18" s="1"/>
  <c r="H25" i="19"/>
  <c r="H22" i="19" s="1"/>
  <c r="H25" i="20"/>
  <c r="H22" i="20" s="1"/>
  <c r="B19" i="18"/>
  <c r="C25" i="18"/>
  <c r="C22" i="18" s="1"/>
  <c r="K25" i="18"/>
  <c r="I25" i="19"/>
  <c r="I22" i="19" s="1"/>
  <c r="L25" i="18"/>
  <c r="L22" i="18" s="1"/>
  <c r="D25" i="20"/>
  <c r="D22" i="20" s="1"/>
  <c r="B19" i="1"/>
  <c r="I25" i="1"/>
  <c r="I22" i="1" s="1"/>
  <c r="I25" i="18"/>
  <c r="I22" i="18" s="1"/>
  <c r="L25" i="20"/>
  <c r="L22" i="20" s="1"/>
  <c r="L25" i="19"/>
  <c r="L22" i="19" s="1"/>
  <c r="F19" i="19"/>
  <c r="G19" i="20"/>
  <c r="E19" i="20"/>
  <c r="J19" i="18"/>
  <c r="G19" i="19"/>
  <c r="B22" i="18"/>
  <c r="I25" i="20"/>
  <c r="I22" i="20" s="1"/>
  <c r="J19" i="20"/>
  <c r="L19" i="19"/>
  <c r="K25" i="19"/>
  <c r="K22" i="19" s="1"/>
  <c r="L25" i="1"/>
  <c r="L22" i="1" s="1"/>
  <c r="D25" i="1"/>
  <c r="D22" i="1" s="1"/>
  <c r="D25" i="19"/>
  <c r="D22" i="19" s="1"/>
  <c r="K25" i="20"/>
  <c r="K22" i="20" s="1"/>
  <c r="K22" i="18"/>
  <c r="H26" i="19"/>
  <c r="J22" i="19"/>
  <c r="K25" i="1"/>
  <c r="K22" i="1" s="1"/>
  <c r="G22" i="18"/>
  <c r="C19" i="20"/>
  <c r="D25" i="18"/>
  <c r="D22" i="18" s="1"/>
  <c r="I19" i="18"/>
  <c r="L19" i="18"/>
  <c r="H26" i="20"/>
  <c r="H25" i="18"/>
  <c r="H22" i="18" s="1"/>
  <c r="J26" i="19"/>
  <c r="J26" i="20"/>
  <c r="B26" i="19"/>
  <c r="J26" i="18"/>
  <c r="G26" i="20"/>
  <c r="G26" i="18"/>
  <c r="K26" i="19"/>
  <c r="K26" i="20"/>
  <c r="K26" i="1"/>
  <c r="K26" i="18"/>
  <c r="I26" i="1"/>
  <c r="I26" i="19"/>
  <c r="I26" i="18"/>
  <c r="I26" i="20"/>
  <c r="F26" i="18"/>
  <c r="F26" i="1"/>
  <c r="F26" i="19"/>
  <c r="F26" i="20"/>
  <c r="E26" i="18"/>
  <c r="E26" i="19"/>
  <c r="E26" i="1"/>
  <c r="E26" i="20"/>
  <c r="D26" i="18"/>
  <c r="D26" i="19"/>
  <c r="D26" i="20"/>
  <c r="D26" i="1"/>
  <c r="L26" i="20"/>
  <c r="L26" i="1"/>
  <c r="L26" i="19"/>
  <c r="L26" i="18"/>
  <c r="C26" i="20"/>
  <c r="B26" i="20"/>
  <c r="B26" i="1"/>
  <c r="C26" i="1"/>
  <c r="G26" i="1"/>
  <c r="C26" i="19"/>
  <c r="G26" i="19"/>
  <c r="C26" i="18"/>
  <c r="C19" i="1"/>
  <c r="L19" i="20"/>
  <c r="I19" i="1"/>
  <c r="H26" i="18"/>
  <c r="B26" i="18"/>
  <c r="J26" i="1"/>
  <c r="H26" i="1"/>
  <c r="F22" i="19"/>
  <c r="I19" i="19"/>
  <c r="G19" i="1"/>
  <c r="D19" i="18"/>
  <c r="E22" i="18"/>
  <c r="G19" i="18"/>
  <c r="C19" i="18"/>
  <c r="C18" i="18" s="1"/>
  <c r="G22" i="1"/>
  <c r="C19" i="19"/>
  <c r="F19" i="18"/>
  <c r="E19" i="1"/>
  <c r="F22" i="20"/>
  <c r="F19" i="20"/>
  <c r="L19" i="1"/>
  <c r="J19" i="1"/>
  <c r="E19" i="18"/>
  <c r="D19" i="20"/>
  <c r="I19" i="20"/>
  <c r="H19" i="18"/>
  <c r="H19" i="20"/>
  <c r="F4" i="9"/>
  <c r="H18" i="1" l="1"/>
  <c r="B18" i="20"/>
  <c r="B40" i="20" s="1"/>
  <c r="G17" i="19"/>
  <c r="F38" i="19"/>
  <c r="G17" i="20"/>
  <c r="F38" i="20"/>
  <c r="B18" i="1"/>
  <c r="B27" i="1" s="1"/>
  <c r="B29" i="1" s="1"/>
  <c r="E38" i="18"/>
  <c r="F17" i="18"/>
  <c r="G18" i="18"/>
  <c r="I18" i="1"/>
  <c r="I27" i="1" s="1"/>
  <c r="I29" i="1" s="1"/>
  <c r="M35" i="18"/>
  <c r="B46" i="18"/>
  <c r="D18" i="19"/>
  <c r="D27" i="19" s="1"/>
  <c r="D29" i="19" s="1"/>
  <c r="M35" i="20"/>
  <c r="B46" i="20"/>
  <c r="M35" i="1"/>
  <c r="K18" i="18"/>
  <c r="B18" i="19"/>
  <c r="B40" i="19" s="1"/>
  <c r="E18" i="20"/>
  <c r="E27" i="20" s="1"/>
  <c r="J18" i="18"/>
  <c r="J27" i="18" s="1"/>
  <c r="C18" i="1"/>
  <c r="C40" i="1" s="1"/>
  <c r="H18" i="18"/>
  <c r="H27" i="18" s="1"/>
  <c r="H28" i="18" s="1"/>
  <c r="G18" i="20"/>
  <c r="G27" i="20" s="1"/>
  <c r="G29" i="20" s="1"/>
  <c r="F18" i="19"/>
  <c r="F27" i="19" s="1"/>
  <c r="F29" i="19" s="1"/>
  <c r="H18" i="19"/>
  <c r="H27" i="19" s="1"/>
  <c r="H29" i="19" s="1"/>
  <c r="D18" i="20"/>
  <c r="D27" i="20" s="1"/>
  <c r="D28" i="20" s="1"/>
  <c r="J18" i="19"/>
  <c r="J27" i="19" s="1"/>
  <c r="J29" i="19" s="1"/>
  <c r="E18" i="1"/>
  <c r="E27" i="1" s="1"/>
  <c r="M26" i="20"/>
  <c r="F18" i="18"/>
  <c r="F27" i="18" s="1"/>
  <c r="L18" i="18"/>
  <c r="L27" i="18" s="1"/>
  <c r="L29" i="18" s="1"/>
  <c r="K18" i="19"/>
  <c r="K27" i="19" s="1"/>
  <c r="K28" i="19" s="1"/>
  <c r="C27" i="18"/>
  <c r="C28" i="18" s="1"/>
  <c r="I18" i="20"/>
  <c r="I27" i="20" s="1"/>
  <c r="I29" i="20" s="1"/>
  <c r="K18" i="1"/>
  <c r="K27" i="1" s="1"/>
  <c r="K28" i="1" s="1"/>
  <c r="C18" i="19"/>
  <c r="C27" i="19" s="1"/>
  <c r="C28" i="19" s="1"/>
  <c r="G18" i="1"/>
  <c r="G27" i="1" s="1"/>
  <c r="B18" i="18"/>
  <c r="B40" i="18" s="1"/>
  <c r="G18" i="19"/>
  <c r="G27" i="19" s="1"/>
  <c r="G28" i="19" s="1"/>
  <c r="K18" i="20"/>
  <c r="K27" i="20" s="1"/>
  <c r="K29" i="20" s="1"/>
  <c r="L18" i="20"/>
  <c r="L27" i="20" s="1"/>
  <c r="L18" i="1"/>
  <c r="J18" i="20"/>
  <c r="J27" i="20" s="1"/>
  <c r="J29" i="20" s="1"/>
  <c r="B40" i="1"/>
  <c r="F18" i="1"/>
  <c r="F27" i="1" s="1"/>
  <c r="F28" i="1" s="1"/>
  <c r="K27" i="18"/>
  <c r="K28" i="18" s="1"/>
  <c r="G27" i="18"/>
  <c r="G28" i="18" s="1"/>
  <c r="D18" i="1"/>
  <c r="M26" i="18"/>
  <c r="M26" i="19"/>
  <c r="L18" i="19"/>
  <c r="L27" i="19" s="1"/>
  <c r="L29" i="19" s="1"/>
  <c r="E18" i="19"/>
  <c r="E27" i="19" s="1"/>
  <c r="E29" i="19" s="1"/>
  <c r="M26" i="1"/>
  <c r="D18" i="18"/>
  <c r="H18" i="20"/>
  <c r="H27" i="20" s="1"/>
  <c r="H29" i="20" s="1"/>
  <c r="E18" i="18"/>
  <c r="E27" i="18" s="1"/>
  <c r="E28" i="18" s="1"/>
  <c r="I18" i="18"/>
  <c r="I27" i="18" s="1"/>
  <c r="I28" i="18" s="1"/>
  <c r="J18" i="1"/>
  <c r="J27" i="1" s="1"/>
  <c r="J28" i="1" s="1"/>
  <c r="F18" i="20"/>
  <c r="F27" i="20" s="1"/>
  <c r="F29" i="20" s="1"/>
  <c r="C18" i="20"/>
  <c r="C27" i="20" s="1"/>
  <c r="C29" i="20" s="1"/>
  <c r="I18" i="19"/>
  <c r="I27" i="19" s="1"/>
  <c r="I28" i="19" s="1"/>
  <c r="B27" i="20"/>
  <c r="B29" i="20" s="1"/>
  <c r="H27" i="1"/>
  <c r="H28" i="1" s="1"/>
  <c r="G4" i="9"/>
  <c r="C27" i="1" l="1"/>
  <c r="C28" i="1" s="1"/>
  <c r="G38" i="19"/>
  <c r="H17" i="19"/>
  <c r="F6" i="9"/>
  <c r="L27" i="1"/>
  <c r="L29" i="1" s="1"/>
  <c r="F38" i="18"/>
  <c r="G17" i="18"/>
  <c r="P6" i="9"/>
  <c r="H17" i="20"/>
  <c r="G38" i="20"/>
  <c r="C29" i="19"/>
  <c r="I28" i="1"/>
  <c r="D27" i="1"/>
  <c r="D28" i="1" s="1"/>
  <c r="C6" i="9"/>
  <c r="D6" i="9"/>
  <c r="C29" i="18"/>
  <c r="B27" i="19"/>
  <c r="B28" i="19" s="1"/>
  <c r="C41" i="19" s="1"/>
  <c r="D40" i="19"/>
  <c r="E46" i="1"/>
  <c r="E46" i="20"/>
  <c r="G29" i="19"/>
  <c r="H28" i="19"/>
  <c r="C40" i="19"/>
  <c r="K29" i="18"/>
  <c r="E29" i="1"/>
  <c r="E28" i="1"/>
  <c r="J28" i="18"/>
  <c r="J29" i="18"/>
  <c r="K29" i="1"/>
  <c r="F28" i="19"/>
  <c r="B28" i="1"/>
  <c r="B39" i="1" s="1"/>
  <c r="J40" i="19"/>
  <c r="D28" i="19"/>
  <c r="G28" i="20"/>
  <c r="D29" i="20"/>
  <c r="G29" i="18"/>
  <c r="K28" i="20"/>
  <c r="H29" i="18"/>
  <c r="J28" i="19"/>
  <c r="B27" i="18"/>
  <c r="B28" i="18" s="1"/>
  <c r="B39" i="18" s="1"/>
  <c r="C39" i="18" s="1"/>
  <c r="D40" i="1"/>
  <c r="L28" i="19"/>
  <c r="C40" i="18"/>
  <c r="L28" i="18"/>
  <c r="L40" i="19"/>
  <c r="E40" i="19"/>
  <c r="G40" i="20"/>
  <c r="C28" i="20"/>
  <c r="H40" i="19"/>
  <c r="E28" i="19"/>
  <c r="I29" i="18"/>
  <c r="C40" i="20"/>
  <c r="D40" i="20"/>
  <c r="F40" i="19"/>
  <c r="I28" i="20"/>
  <c r="G40" i="19"/>
  <c r="E40" i="20"/>
  <c r="K40" i="20"/>
  <c r="L28" i="20"/>
  <c r="L29" i="20"/>
  <c r="F29" i="1"/>
  <c r="I40" i="20"/>
  <c r="G40" i="1"/>
  <c r="H40" i="20"/>
  <c r="J28" i="20"/>
  <c r="E6" i="9"/>
  <c r="E40" i="18"/>
  <c r="H40" i="18"/>
  <c r="I40" i="1"/>
  <c r="K40" i="18"/>
  <c r="M18" i="18"/>
  <c r="H28" i="20"/>
  <c r="K29" i="19"/>
  <c r="G6" i="9"/>
  <c r="L40" i="20"/>
  <c r="E29" i="18"/>
  <c r="H40" i="1"/>
  <c r="F40" i="1"/>
  <c r="E40" i="1"/>
  <c r="F40" i="18"/>
  <c r="L40" i="18"/>
  <c r="K40" i="1"/>
  <c r="J29" i="1"/>
  <c r="D27" i="18"/>
  <c r="D28" i="18" s="1"/>
  <c r="G40" i="18"/>
  <c r="I40" i="18"/>
  <c r="J40" i="18"/>
  <c r="M18" i="19"/>
  <c r="D40" i="18"/>
  <c r="I40" i="19"/>
  <c r="L40" i="1"/>
  <c r="J40" i="1"/>
  <c r="K40" i="19"/>
  <c r="I29" i="19"/>
  <c r="B45" i="20"/>
  <c r="J40" i="20"/>
  <c r="F40" i="20"/>
  <c r="M18" i="20"/>
  <c r="F28" i="20"/>
  <c r="E28" i="20"/>
  <c r="E29" i="20"/>
  <c r="G29" i="1"/>
  <c r="G28" i="1"/>
  <c r="H29" i="1"/>
  <c r="B28" i="20"/>
  <c r="M27" i="20"/>
  <c r="F28" i="18"/>
  <c r="F29" i="18"/>
  <c r="C29" i="1" l="1"/>
  <c r="L28" i="1"/>
  <c r="L41" i="1" s="1"/>
  <c r="H38" i="20"/>
  <c r="I17" i="20"/>
  <c r="H17" i="18"/>
  <c r="G38" i="18"/>
  <c r="H38" i="19"/>
  <c r="I17" i="19"/>
  <c r="M27" i="1"/>
  <c r="D29" i="1"/>
  <c r="D41" i="19"/>
  <c r="C41" i="18"/>
  <c r="B29" i="19"/>
  <c r="B39" i="19"/>
  <c r="C39" i="19" s="1"/>
  <c r="D39" i="19" s="1"/>
  <c r="E39" i="19" s="1"/>
  <c r="F39" i="19" s="1"/>
  <c r="G39" i="19" s="1"/>
  <c r="H39" i="19" s="1"/>
  <c r="I39" i="19" s="1"/>
  <c r="J39" i="19" s="1"/>
  <c r="K39" i="19" s="1"/>
  <c r="L39" i="19" s="1"/>
  <c r="B45" i="19"/>
  <c r="M27" i="19"/>
  <c r="L41" i="19"/>
  <c r="B41" i="19"/>
  <c r="C39" i="1"/>
  <c r="D39" i="1" s="1"/>
  <c r="E39" i="1" s="1"/>
  <c r="F39" i="1" s="1"/>
  <c r="G39" i="1" s="1"/>
  <c r="H39" i="1" s="1"/>
  <c r="I39" i="1" s="1"/>
  <c r="J39" i="1" s="1"/>
  <c r="K39" i="1" s="1"/>
  <c r="F41" i="19"/>
  <c r="M28" i="19"/>
  <c r="B41" i="1"/>
  <c r="J41" i="19"/>
  <c r="G41" i="19"/>
  <c r="E41" i="19"/>
  <c r="K41" i="19"/>
  <c r="B44" i="19"/>
  <c r="I41" i="19"/>
  <c r="H41" i="19"/>
  <c r="D39" i="18"/>
  <c r="E39" i="18" s="1"/>
  <c r="F39" i="18" s="1"/>
  <c r="G39" i="18" s="1"/>
  <c r="H39" i="18" s="1"/>
  <c r="I39" i="18" s="1"/>
  <c r="J39" i="18" s="1"/>
  <c r="K39" i="18" s="1"/>
  <c r="L39" i="18" s="1"/>
  <c r="B48" i="18" s="1"/>
  <c r="E48" i="20" s="1"/>
  <c r="M27" i="18"/>
  <c r="B41" i="18"/>
  <c r="B29" i="18"/>
  <c r="D41" i="18"/>
  <c r="D41" i="20"/>
  <c r="B45" i="18"/>
  <c r="E45" i="1" s="1"/>
  <c r="E41" i="18"/>
  <c r="C41" i="20"/>
  <c r="K41" i="1"/>
  <c r="D29" i="18"/>
  <c r="I41" i="20"/>
  <c r="H41" i="20"/>
  <c r="M28" i="20"/>
  <c r="F41" i="1"/>
  <c r="B44" i="20"/>
  <c r="G41" i="20"/>
  <c r="L41" i="20"/>
  <c r="I41" i="1"/>
  <c r="H41" i="1"/>
  <c r="J41" i="1"/>
  <c r="K41" i="20"/>
  <c r="E41" i="20"/>
  <c r="E41" i="1"/>
  <c r="D41" i="1"/>
  <c r="J41" i="20"/>
  <c r="F41" i="20"/>
  <c r="G41" i="1"/>
  <c r="C41" i="1"/>
  <c r="B41" i="20"/>
  <c r="B39" i="20"/>
  <c r="C39" i="20" s="1"/>
  <c r="D39" i="20" s="1"/>
  <c r="E39" i="20" s="1"/>
  <c r="F39" i="20" s="1"/>
  <c r="G39" i="20" s="1"/>
  <c r="H39" i="20" s="1"/>
  <c r="I39" i="20" s="1"/>
  <c r="J39" i="20" s="1"/>
  <c r="K39" i="20" s="1"/>
  <c r="L39" i="20" s="1"/>
  <c r="H41" i="18"/>
  <c r="I41" i="18"/>
  <c r="G41" i="18"/>
  <c r="L41" i="18"/>
  <c r="K41" i="18"/>
  <c r="F41" i="18"/>
  <c r="B44" i="18"/>
  <c r="M28" i="18"/>
  <c r="J41" i="18"/>
  <c r="M28" i="1" l="1"/>
  <c r="L39" i="1"/>
  <c r="B48" i="1" s="1"/>
  <c r="N6" i="9"/>
  <c r="M6" i="9"/>
  <c r="I38" i="19"/>
  <c r="J17" i="19"/>
  <c r="H38" i="18"/>
  <c r="I17" i="18"/>
  <c r="I38" i="20"/>
  <c r="J17" i="20"/>
  <c r="B48" i="19"/>
  <c r="B47" i="19"/>
  <c r="E45" i="20"/>
  <c r="B47" i="1"/>
  <c r="B47" i="20"/>
  <c r="B48" i="20"/>
  <c r="E48" i="1"/>
  <c r="B47" i="18"/>
  <c r="E47" i="1" s="1"/>
  <c r="E44" i="20"/>
  <c r="E44" i="1"/>
  <c r="I38" i="18" l="1"/>
  <c r="J17" i="18"/>
  <c r="K17" i="20"/>
  <c r="J38" i="20"/>
  <c r="K17" i="19"/>
  <c r="J38" i="19"/>
  <c r="E47" i="20"/>
  <c r="J38" i="18" l="1"/>
  <c r="K17" i="18"/>
  <c r="K38" i="19"/>
  <c r="L17" i="19"/>
  <c r="L38" i="19" s="1"/>
  <c r="L17" i="20"/>
  <c r="L38" i="20" s="1"/>
  <c r="K38" i="20"/>
  <c r="K38" i="18" l="1"/>
  <c r="L17" i="18"/>
  <c r="L38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Hang Ren</author>
  </authors>
  <commentList>
    <comment ref="B2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Lab Hang Ren:</t>
        </r>
        <r>
          <rPr>
            <sz val="9"/>
            <color indexed="81"/>
            <rFont val="Segoe UI"/>
            <family val="2"/>
          </rPr>
          <t xml:space="preserve">
On valid for indirect sales; for rest sales impact is always 100%</t>
        </r>
      </text>
    </comment>
  </commentList>
</comments>
</file>

<file path=xl/sharedStrings.xml><?xml version="1.0" encoding="utf-8"?>
<sst xmlns="http://schemas.openxmlformats.org/spreadsheetml/2006/main" count="762" uniqueCount="227">
  <si>
    <t xml:space="preserve">Business Case (BC) - statement </t>
  </si>
  <si>
    <t xml:space="preserve">Project description:
</t>
  </si>
  <si>
    <t>(Product Lifecycle Calculation)</t>
  </si>
  <si>
    <t>Industrial Automation Solutions (IAS)</t>
  </si>
  <si>
    <t>Only yellow fields may be changed.
All figures on summary in USk$.</t>
  </si>
  <si>
    <t>Business department:</t>
  </si>
  <si>
    <t>Product cluster:</t>
  </si>
  <si>
    <t>Product Manager:</t>
  </si>
  <si>
    <t>Start of Project:</t>
  </si>
  <si>
    <t>WACC</t>
  </si>
  <si>
    <t>Regional breakdown</t>
  </si>
  <si>
    <t>Date:</t>
  </si>
  <si>
    <t>Start of Sales:</t>
  </si>
  <si>
    <t>Probability EV</t>
  </si>
  <si>
    <t>Americas</t>
  </si>
  <si>
    <t>Project number:</t>
  </si>
  <si>
    <t>End of Sales:</t>
  </si>
  <si>
    <t>EXR €/$</t>
  </si>
  <si>
    <t>EMEA</t>
  </si>
  <si>
    <t>CR number:</t>
  </si>
  <si>
    <t>Lifetime:</t>
  </si>
  <si>
    <t>EXR BC</t>
  </si>
  <si>
    <t>APAC</t>
  </si>
  <si>
    <t>Version:</t>
  </si>
  <si>
    <t>Date of F2/G3:</t>
  </si>
  <si>
    <t>Project type</t>
  </si>
  <si>
    <t>Standard</t>
  </si>
  <si>
    <t>Years</t>
  </si>
  <si>
    <t>Totals (lifetime)</t>
  </si>
  <si>
    <t>Total Revenue (net sales)</t>
  </si>
  <si>
    <t>direct sales</t>
  </si>
  <si>
    <t>direct incremental sales</t>
  </si>
  <si>
    <t>direct maintaining sales</t>
  </si>
  <si>
    <t xml:space="preserve">indirect sales </t>
  </si>
  <si>
    <t>indirect incremental sales</t>
  </si>
  <si>
    <t>indirect maintaining sales</t>
  </si>
  <si>
    <t>indirect cannibalization sales</t>
  </si>
  <si>
    <t>Total COS (DC of HW)</t>
  </si>
  <si>
    <t>Std. Margin</t>
  </si>
  <si>
    <t>Margin (discounted at WACC)</t>
  </si>
  <si>
    <t>Margin %</t>
  </si>
  <si>
    <t>Project cost (OPEX)</t>
  </si>
  <si>
    <t>Project cost (CAPEX SW)</t>
  </si>
  <si>
    <t>Project cost (CAPEX)</t>
  </si>
  <si>
    <t>Product maintenance cost</t>
  </si>
  <si>
    <t>Project cost</t>
  </si>
  <si>
    <t>Project cost (discounted at WACC)</t>
  </si>
  <si>
    <t>Project costs per piece</t>
  </si>
  <si>
    <t>Year</t>
  </si>
  <si>
    <t>NPV (accumulated)</t>
  </si>
  <si>
    <t>Revenue (accumulated)</t>
  </si>
  <si>
    <t>Payback Calculation</t>
  </si>
  <si>
    <t>appr. conditions</t>
  </si>
  <si>
    <t>Expected Value</t>
  </si>
  <si>
    <t>Disc. NPV (USk$)</t>
  </si>
  <si>
    <t>&gt;</t>
  </si>
  <si>
    <t>0 USk$</t>
  </si>
  <si>
    <t>R&amp;D Leverage (ratio)</t>
  </si>
  <si>
    <t>Paybacktime (years)</t>
  </si>
  <si>
    <t>&lt;</t>
  </si>
  <si>
    <t>IRR (%)</t>
  </si>
  <si>
    <t>Date</t>
  </si>
  <si>
    <t>Change</t>
  </si>
  <si>
    <t>Name</t>
  </si>
  <si>
    <t>Definition</t>
  </si>
  <si>
    <t>Secure market perspective</t>
  </si>
  <si>
    <t xml:space="preserve">Good market access, which means existing market distributors and sales channels. Very well known market structure; clear &amp; unambiguous demand drivers (e.g. legislations); moderate to low competition; selling projections dominated by existing and loyal customers (bottom-up-approach); </t>
  </si>
  <si>
    <t>Mixed market perspecitve</t>
  </si>
  <si>
    <t>Mixed market access: few exisitng market distributors and sales channels. Mix of existing customer and projected new customers, known markets and 
market dynamics, selling projections dominated by mature markets.</t>
  </si>
  <si>
    <t>Unsecure market perspective</t>
  </si>
  <si>
    <t>Business case assumptions composed by broad variety of customers and markets, 
very top-down approach (i.e. no or few distinct customers). New and/or volatile markets, fierce competitive landscape, unclear market/customer drivers and demands; hard market access: low to none existens market distributors and sales channels</t>
  </si>
  <si>
    <t>Probabilty EV</t>
  </si>
  <si>
    <t xml:space="preserve">New product/business  platform 
</t>
  </si>
  <si>
    <t>Completely new product, no user reviews for clients to trust on, clients risk in adopting an untried / untested product; new business platform; unknown alliances with customers etc.</t>
  </si>
  <si>
    <t xml:space="preserve">New feature/successor platform 
</t>
  </si>
  <si>
    <t>Addition of a feature to improve the original product's performance; unknown performance enhancements; modified or successive customer platform; possible  new clients</t>
  </si>
  <si>
    <t xml:space="preserve">Custom products/derivatives
</t>
  </si>
  <si>
    <t>Minor modifications to the current product portfolio; little deviation from the trusted selling products; hence lower risk; relative confidence in product performance; mostly driven by specific customer request</t>
  </si>
  <si>
    <t>Only yellow fields may be changed</t>
  </si>
  <si>
    <t>Currency</t>
  </si>
  <si>
    <t>EUR</t>
  </si>
  <si>
    <t>Simulation</t>
  </si>
  <si>
    <t>On</t>
  </si>
  <si>
    <t>Price and cost development</t>
  </si>
  <si>
    <t>Annual price deterioration</t>
  </si>
  <si>
    <t>Annual cost reduction</t>
  </si>
  <si>
    <t xml:space="preserve">Project calculation </t>
  </si>
  <si>
    <t>Comments</t>
  </si>
  <si>
    <t>Q1</t>
  </si>
  <si>
    <t>Q2</t>
  </si>
  <si>
    <t>Q3</t>
  </si>
  <si>
    <t>Q4</t>
  </si>
  <si>
    <t xml:space="preserve">Variant </t>
  </si>
  <si>
    <t>volume (qty./year)</t>
  </si>
  <si>
    <t>Volume</t>
  </si>
  <si>
    <t>average beginning sales price (per piece)</t>
  </si>
  <si>
    <t xml:space="preserve">Average sales price </t>
  </si>
  <si>
    <t>COS - DC (per piece)</t>
  </si>
  <si>
    <t>Product life time (years, max. 15)</t>
  </si>
  <si>
    <t>Revenue</t>
  </si>
  <si>
    <t xml:space="preserve">Time to cash - 80% Volume (in months) </t>
  </si>
  <si>
    <t>Total COS (DC)</t>
  </si>
  <si>
    <t>Starting year</t>
  </si>
  <si>
    <t>Starting quarter</t>
  </si>
  <si>
    <t>Sales type</t>
  </si>
  <si>
    <t>Actual revenue</t>
  </si>
  <si>
    <t>Sales impact (%)</t>
  </si>
  <si>
    <t>Actual COS</t>
  </si>
  <si>
    <t>Totals</t>
  </si>
  <si>
    <t>Project cost covered by customer in k€/$</t>
  </si>
  <si>
    <t>COS</t>
  </si>
  <si>
    <t>Project costs</t>
  </si>
  <si>
    <t>Business Case delta method</t>
  </si>
  <si>
    <t>Scenario 1: Realization of project</t>
  </si>
  <si>
    <t>"Variant name"</t>
  </si>
  <si>
    <t>Product life time (years)</t>
  </si>
  <si>
    <t>Scenario 2: No realization of project</t>
  </si>
  <si>
    <t>Result (to copy into worksheet "Revenue details")</t>
  </si>
  <si>
    <t>Standard Business Case Template for SW Projects</t>
  </si>
  <si>
    <t>No.</t>
  </si>
  <si>
    <t>Terminology</t>
  </si>
  <si>
    <t>Formula</t>
  </si>
  <si>
    <t>Notes</t>
  </si>
  <si>
    <t>Project description</t>
  </si>
  <si>
    <t>A short summary of what the project is, and its main purpose</t>
  </si>
  <si>
    <t>Business department</t>
  </si>
  <si>
    <t>Classification of a project depending on its department - connectivity, networking or protocols</t>
  </si>
  <si>
    <t>CR number</t>
  </si>
  <si>
    <t>A change request number is added to notify the changes to be made due to changed customer need or change in the project's process over the product's lifetime</t>
  </si>
  <si>
    <t>End of Sales</t>
  </si>
  <si>
    <t>Date after which the product will be discontinued to be sold</t>
  </si>
  <si>
    <t>Lifetime</t>
  </si>
  <si>
    <t>Duration between the start of sales and the end of sales of a product</t>
  </si>
  <si>
    <t xml:space="preserve">Date of F2 / Gate 3 </t>
  </si>
  <si>
    <t>Date when the requirement, business case and concept phase have been approved and any changes hereonwards need a change request</t>
  </si>
  <si>
    <t>Weighted Average Cost of Capital (WACC)</t>
  </si>
  <si>
    <t>Discounted value of money considering a certain period of time (given by the finance department and varies yearly)</t>
  </si>
  <si>
    <t>Probability of the success of a product depending on Belden's market access and the product innovation degree. This probability is determined from the EV matrix.</t>
  </si>
  <si>
    <t>Project Type</t>
  </si>
  <si>
    <t>Depending on whether the product would be sold as a standard project under the Belden's brand name or sold to an another client for putting it in the market under their brand name</t>
  </si>
  <si>
    <t>Regional Breakdown</t>
  </si>
  <si>
    <t>Expected sales to be generated depending on the geographical location</t>
  </si>
  <si>
    <t>Sum of the overall revenue streams generated by selling a product</t>
  </si>
  <si>
    <t>Direct + Indirect Sales</t>
  </si>
  <si>
    <t>Direct sales</t>
  </si>
  <si>
    <t>Sales generated through the direct sales of SW (licenses) or HW products</t>
  </si>
  <si>
    <t>Direct incremental sales</t>
  </si>
  <si>
    <t>Sales made in excess of the estimated amounts and can be easily expected by launching new products or entering new markets (new customers) or being qualified for new projects</t>
  </si>
  <si>
    <t>Direct maintaining sales</t>
  </si>
  <si>
    <t>Revenue made by projects to maintain the volume of product sales and satisfy the original BC target</t>
  </si>
  <si>
    <t xml:space="preserve">Indirect sales </t>
  </si>
  <si>
    <t>Revenue generated by selling products that influence the sales of other products</t>
  </si>
  <si>
    <t>Indirect incremental sales</t>
  </si>
  <si>
    <t>Sales made by products by influencing sales of other products in excess of their original business case</t>
  </si>
  <si>
    <t>Indirect  maintaining sales</t>
  </si>
  <si>
    <t>Sales made through regular update of products to satisfy the original BC targets</t>
  </si>
  <si>
    <t>Indirect  cannibalization sales</t>
  </si>
  <si>
    <t>Sales lost due to the introduction of new products leading to the reduction in the sales of other products</t>
  </si>
  <si>
    <t>Costs incurred in producing and selling a product</t>
  </si>
  <si>
    <t>Review needed regarding selling a product</t>
  </si>
  <si>
    <t>The present value of profits considering the diminishing value of currency in the future</t>
  </si>
  <si>
    <t>Margin (WACC) = Std. Margin/((1+WACC rate)^n)</t>
  </si>
  <si>
    <t>n = number of years</t>
  </si>
  <si>
    <t>Percentage of profit made on the selling price of a product</t>
  </si>
  <si>
    <t xml:space="preserve">Margin % = Std. Margin/ Revenue </t>
  </si>
  <si>
    <t>General project costs (effort) for completing  project successfully e.g.. Labor / engineering costs</t>
  </si>
  <si>
    <t>Capital invested (efforts invested) for developing new software (criteria needs to be fulfilled to be accounted as CAPEX SW)</t>
  </si>
  <si>
    <t>Amount of capital invested in executing a particular project e.g. machinery, land etc.</t>
  </si>
  <si>
    <t>Costs needed for keeping a product selling after the market launch</t>
  </si>
  <si>
    <t>Sum of all project costs</t>
  </si>
  <si>
    <t>Project Cost = OPEX+ CAPEX SW+ CAPEX + Maintenance cost</t>
  </si>
  <si>
    <t>Net Present Value (NPV)</t>
  </si>
  <si>
    <t>Present value of a future stream of payments. It is the difference between the present value of cash inflows and the present value of cash outflows over a period of time.</t>
  </si>
  <si>
    <t>NPV = Discounted Margins - All costs*</t>
  </si>
  <si>
    <t>Standard Margin</t>
  </si>
  <si>
    <t xml:space="preserve">Margin of profit considering the direct costs only </t>
  </si>
  <si>
    <t>Std. margin = Revenue - DC</t>
  </si>
  <si>
    <t>R&amp;D Leverage</t>
  </si>
  <si>
    <t xml:space="preserve">Percentage of the total money required borrowed from other product budgets to fund the new R&amp;D </t>
  </si>
  <si>
    <t>RnD Leverage = NPV / Project Costs</t>
  </si>
  <si>
    <t>Internal Rate of Return (IRR)</t>
  </si>
  <si>
    <t>Annual rate of growth an investment would make when the NPV is set to 0</t>
  </si>
  <si>
    <t>Co= Σ(Ct/(1+IRR)^t)</t>
  </si>
  <si>
    <t>where Ct = net cash flow during period t, Co = total initial investment, t = time periods</t>
  </si>
  <si>
    <t>Overall project costs (OPEX, CAPEX, CAPEX SW &amp; Maintenance costs) divided through sold pieces/quantities</t>
  </si>
  <si>
    <t>Project costs per piece = Porject costs / Sum of sold pieces</t>
  </si>
  <si>
    <t>Payback Period</t>
  </si>
  <si>
    <t>The payback period refers to the amount of time it takes to recover the cost of an investment.</t>
  </si>
  <si>
    <t>Payback Period = Original investments / Annual cash inflows</t>
  </si>
  <si>
    <t>The approximate value considering the market position and project type that can be generated if the project is approved and executed (taking into account the confidence levels of the PM)</t>
  </si>
  <si>
    <t xml:space="preserve">very well known market structure; clear &amp; unambiguous demand drivers (e.g. legislations);  moderate to low competition; selling projections dominated by existing and loyal customers (bottom-up-approach); </t>
  </si>
  <si>
    <t>&lt; - Market Situation</t>
  </si>
  <si>
    <t>Mixed market perspective</t>
  </si>
  <si>
    <t>Mix of existing customer and projected new customers, known markets and market dynamics, selling projections dominated by mature markets.</t>
  </si>
  <si>
    <t xml:space="preserve">Business case assumptions composed by broad variety of customers and markets, very top-down approach (i.e. no or few distinct customers). New and/or volatile markets, fierce competitive landscape, unclear market/customer drivers and demands; </t>
  </si>
  <si>
    <t>&lt; - Degree of Product Innovation</t>
  </si>
  <si>
    <t>Custom products/derivatives</t>
  </si>
  <si>
    <t>Decrease in the price of products due to technological advancements and competition to stay relevant in the market</t>
  </si>
  <si>
    <t>Reduction in the manufacturing costs over time due to prodcution ramp up</t>
  </si>
  <si>
    <t>The time period of start of sales to the end of sales</t>
  </si>
  <si>
    <t>Time To Cash</t>
  </si>
  <si>
    <t>Time taken for the price of a product to drop to a certain percentage of its initial value (in our BC it is 80%)</t>
  </si>
  <si>
    <t>Relevant Sales</t>
  </si>
  <si>
    <t>Valid only for indrect cannibalisation and maintenance sales to calculate the percentage of sales displaced by new products (also sometimes applicable for indirect incremental sales in special use cases)</t>
  </si>
  <si>
    <t>Industrial Network Solutions (INS)</t>
  </si>
  <si>
    <t>Only yellow fields may be changed.
All figures on summary in k€</t>
  </si>
  <si>
    <t>Disc. NPV (k€)</t>
  </si>
  <si>
    <t>Only yellow fields may be changed.
All figures on summary in k€.</t>
  </si>
  <si>
    <t>Dept.</t>
  </si>
  <si>
    <t>Project Name</t>
  </si>
  <si>
    <t>Revenue over lifetime (USD)</t>
  </si>
  <si>
    <t>Cluster</t>
  </si>
  <si>
    <t>Project ID</t>
  </si>
  <si>
    <t>F2/G3 date</t>
  </si>
  <si>
    <t>SOS</t>
  </si>
  <si>
    <t>LT (M)</t>
  </si>
  <si>
    <t>NPV</t>
  </si>
  <si>
    <t>Project Costs</t>
  </si>
  <si>
    <t>Leverage</t>
  </si>
  <si>
    <t>Lifetime revenue</t>
  </si>
  <si>
    <t>Product lifetime</t>
  </si>
  <si>
    <t>AMER</t>
  </si>
  <si>
    <t>Planned Leverage</t>
  </si>
  <si>
    <t>Margin in percent</t>
  </si>
  <si>
    <t>1 MUSD</t>
  </si>
  <si>
    <t>Planned NPV</t>
  </si>
  <si>
    <t>Portfolio Epic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</si>
</sst>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#,##0_ ;\-#,##0\ 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-0.24997711111789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15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0" fillId="2" borderId="1" xfId="0" applyFill="1" applyBorder="1"/>
    <xf numFmtId="0" fontId="3" fillId="0" borderId="0" xfId="0" applyFont="1"/>
    <xf numFmtId="0" fontId="1" fillId="0" borderId="0" xfId="0" applyFont="1" applyAlignment="1">
      <alignment horizontal="center" vertical="center"/>
    </xf>
    <xf numFmtId="0" fontId="1" fillId="0" borderId="12" xfId="0" applyFont="1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1" fillId="0" borderId="0" xfId="0" applyFont="1" applyAlignment="1">
      <alignment textRotation="90"/>
    </xf>
    <xf numFmtId="0" fontId="5" fillId="0" borderId="0" xfId="0" applyFont="1"/>
    <xf numFmtId="9" fontId="0" fillId="2" borderId="1" xfId="0" applyNumberFormat="1" applyFill="1" applyBorder="1"/>
    <xf numFmtId="0" fontId="0" fillId="0" borderId="23" xfId="0" applyBorder="1"/>
    <xf numFmtId="0" fontId="1" fillId="0" borderId="1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34" xfId="0" applyBorder="1"/>
    <xf numFmtId="0" fontId="0" fillId="0" borderId="35" xfId="0" applyBorder="1"/>
    <xf numFmtId="0" fontId="0" fillId="2" borderId="36" xfId="0" applyFill="1" applyBorder="1" applyAlignment="1">
      <alignment horizontal="left"/>
    </xf>
    <xf numFmtId="0" fontId="0" fillId="0" borderId="36" xfId="0" applyBorder="1"/>
    <xf numFmtId="0" fontId="1" fillId="0" borderId="34" xfId="0" applyFont="1" applyBorder="1"/>
    <xf numFmtId="0" fontId="1" fillId="0" borderId="36" xfId="0" applyFont="1" applyBorder="1"/>
    <xf numFmtId="0" fontId="1" fillId="0" borderId="23" xfId="0" applyFont="1" applyBorder="1" applyAlignment="1">
      <alignment horizontal="center"/>
    </xf>
    <xf numFmtId="0" fontId="0" fillId="0" borderId="37" xfId="0" applyBorder="1"/>
    <xf numFmtId="0" fontId="0" fillId="0" borderId="24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" fillId="0" borderId="23" xfId="0" applyFont="1" applyBorder="1"/>
    <xf numFmtId="0" fontId="1" fillId="0" borderId="31" xfId="0" applyFont="1" applyBorder="1"/>
    <xf numFmtId="0" fontId="1" fillId="0" borderId="14" xfId="0" applyFont="1" applyBorder="1"/>
    <xf numFmtId="0" fontId="1" fillId="2" borderId="36" xfId="0" applyFont="1" applyFill="1" applyBorder="1"/>
    <xf numFmtId="1" fontId="0" fillId="0" borderId="1" xfId="0" applyNumberFormat="1" applyBorder="1"/>
    <xf numFmtId="14" fontId="0" fillId="0" borderId="1" xfId="0" applyNumberFormat="1" applyBorder="1"/>
    <xf numFmtId="0" fontId="0" fillId="6" borderId="36" xfId="0" applyFill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1" fontId="0" fillId="0" borderId="0" xfId="0" applyNumberFormat="1"/>
    <xf numFmtId="0" fontId="1" fillId="0" borderId="0" xfId="0" applyFont="1" applyAlignment="1">
      <alignment vertical="center"/>
    </xf>
    <xf numFmtId="14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/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/>
    <xf numFmtId="0" fontId="0" fillId="0" borderId="0" xfId="0" applyAlignment="1">
      <alignment textRotation="90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0" fillId="0" borderId="47" xfId="0" applyBorder="1" applyAlignment="1">
      <alignment horizontal="center" vertical="center" wrapText="1"/>
    </xf>
    <xf numFmtId="0" fontId="0" fillId="0" borderId="47" xfId="0" applyBorder="1" applyAlignment="1">
      <alignment horizontal="left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1" fontId="0" fillId="0" borderId="14" xfId="0" applyNumberFormat="1" applyBorder="1"/>
    <xf numFmtId="1" fontId="0" fillId="0" borderId="37" xfId="0" applyNumberFormat="1" applyBorder="1"/>
    <xf numFmtId="0" fontId="1" fillId="2" borderId="34" xfId="0" applyFont="1" applyFill="1" applyBorder="1"/>
    <xf numFmtId="0" fontId="0" fillId="6" borderId="35" xfId="0" applyFill="1" applyBorder="1" applyAlignment="1">
      <alignment horizontal="left"/>
    </xf>
    <xf numFmtId="1" fontId="0" fillId="0" borderId="23" xfId="0" applyNumberFormat="1" applyBorder="1"/>
    <xf numFmtId="1" fontId="0" fillId="0" borderId="13" xfId="0" applyNumberFormat="1" applyBorder="1"/>
    <xf numFmtId="1" fontId="0" fillId="0" borderId="24" xfId="0" applyNumberFormat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9" fontId="0" fillId="0" borderId="1" xfId="1" applyFont="1" applyBorder="1"/>
    <xf numFmtId="43" fontId="0" fillId="2" borderId="36" xfId="2" applyFont="1" applyFill="1" applyBorder="1" applyAlignment="1">
      <alignment horizontal="left"/>
    </xf>
    <xf numFmtId="164" fontId="0" fillId="6" borderId="36" xfId="2" applyNumberFormat="1" applyFont="1" applyFill="1" applyBorder="1" applyAlignment="1">
      <alignment horizontal="left"/>
    </xf>
    <xf numFmtId="165" fontId="0" fillId="0" borderId="14" xfId="2" applyNumberFormat="1" applyFont="1" applyFill="1" applyBorder="1"/>
    <xf numFmtId="165" fontId="0" fillId="0" borderId="0" xfId="2" applyNumberFormat="1" applyFont="1" applyFill="1" applyBorder="1"/>
    <xf numFmtId="165" fontId="0" fillId="0" borderId="37" xfId="2" applyNumberFormat="1" applyFont="1" applyFill="1" applyBorder="1"/>
    <xf numFmtId="165" fontId="0" fillId="0" borderId="14" xfId="2" applyNumberFormat="1" applyFont="1" applyBorder="1"/>
    <xf numFmtId="165" fontId="0" fillId="0" borderId="0" xfId="2" applyNumberFormat="1" applyFont="1" applyBorder="1"/>
    <xf numFmtId="165" fontId="0" fillId="0" borderId="37" xfId="2" applyNumberFormat="1" applyFont="1" applyBorder="1"/>
    <xf numFmtId="165" fontId="0" fillId="2" borderId="14" xfId="2" applyNumberFormat="1" applyFont="1" applyFill="1" applyBorder="1"/>
    <xf numFmtId="165" fontId="0" fillId="2" borderId="0" xfId="2" applyNumberFormat="1" applyFont="1" applyFill="1" applyBorder="1"/>
    <xf numFmtId="165" fontId="0" fillId="2" borderId="37" xfId="2" applyNumberFormat="1" applyFont="1" applyFill="1" applyBorder="1"/>
    <xf numFmtId="165" fontId="0" fillId="0" borderId="23" xfId="2" applyNumberFormat="1" applyFont="1" applyBorder="1"/>
    <xf numFmtId="165" fontId="0" fillId="0" borderId="13" xfId="2" applyNumberFormat="1" applyFont="1" applyBorder="1"/>
    <xf numFmtId="165" fontId="0" fillId="0" borderId="24" xfId="2" applyNumberFormat="1" applyFont="1" applyBorder="1"/>
    <xf numFmtId="3" fontId="0" fillId="0" borderId="14" xfId="0" applyNumberFormat="1" applyBorder="1"/>
    <xf numFmtId="3" fontId="0" fillId="0" borderId="0" xfId="0" applyNumberFormat="1"/>
    <xf numFmtId="3" fontId="0" fillId="0" borderId="37" xfId="0" applyNumberFormat="1" applyBorder="1"/>
    <xf numFmtId="3" fontId="0" fillId="0" borderId="23" xfId="0" applyNumberFormat="1" applyBorder="1"/>
    <xf numFmtId="3" fontId="0" fillId="0" borderId="13" xfId="0" applyNumberFormat="1" applyBorder="1"/>
    <xf numFmtId="3" fontId="0" fillId="0" borderId="24" xfId="0" applyNumberFormat="1" applyBorder="1"/>
    <xf numFmtId="0" fontId="0" fillId="0" borderId="36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0" xfId="0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 readingOrder="1"/>
    </xf>
    <xf numFmtId="0" fontId="0" fillId="0" borderId="8" xfId="0" applyBorder="1"/>
    <xf numFmtId="3" fontId="0" fillId="2" borderId="0" xfId="0" applyNumberFormat="1" applyFill="1"/>
    <xf numFmtId="3" fontId="0" fillId="2" borderId="31" xfId="0" applyNumberFormat="1" applyFill="1" applyBorder="1"/>
    <xf numFmtId="3" fontId="0" fillId="2" borderId="32" xfId="0" applyNumberFormat="1" applyFill="1" applyBorder="1"/>
    <xf numFmtId="3" fontId="0" fillId="2" borderId="33" xfId="0" applyNumberFormat="1" applyFill="1" applyBorder="1"/>
    <xf numFmtId="3" fontId="0" fillId="2" borderId="37" xfId="0" applyNumberFormat="1" applyFill="1" applyBorder="1"/>
    <xf numFmtId="3" fontId="0" fillId="2" borderId="14" xfId="0" applyNumberFormat="1" applyFill="1" applyBorder="1"/>
    <xf numFmtId="3" fontId="0" fillId="2" borderId="13" xfId="0" applyNumberFormat="1" applyFill="1" applyBorder="1"/>
    <xf numFmtId="3" fontId="0" fillId="2" borderId="23" xfId="0" applyNumberFormat="1" applyFill="1" applyBorder="1"/>
    <xf numFmtId="3" fontId="0" fillId="2" borderId="24" xfId="0" applyNumberFormat="1" applyFill="1" applyBorder="1"/>
    <xf numFmtId="0" fontId="2" fillId="0" borderId="1" xfId="0" applyFont="1" applyBorder="1"/>
    <xf numFmtId="0" fontId="14" fillId="0" borderId="0" xfId="0" applyFont="1"/>
    <xf numFmtId="0" fontId="14" fillId="2" borderId="1" xfId="0" applyFont="1" applyFill="1" applyBorder="1" applyAlignment="1">
      <alignment horizontal="right"/>
    </xf>
    <xf numFmtId="14" fontId="14" fillId="2" borderId="1" xfId="0" applyNumberFormat="1" applyFont="1" applyFill="1" applyBorder="1"/>
    <xf numFmtId="10" fontId="14" fillId="0" borderId="1" xfId="0" applyNumberFormat="1" applyFont="1" applyBorder="1"/>
    <xf numFmtId="0" fontId="2" fillId="0" borderId="0" xfId="0" applyFont="1"/>
    <xf numFmtId="14" fontId="14" fillId="2" borderId="1" xfId="0" applyNumberFormat="1" applyFont="1" applyFill="1" applyBorder="1" applyAlignment="1">
      <alignment horizontal="right"/>
    </xf>
    <xf numFmtId="9" fontId="14" fillId="0" borderId="1" xfId="0" applyNumberFormat="1" applyFont="1" applyBorder="1"/>
    <xf numFmtId="0" fontId="14" fillId="0" borderId="1" xfId="0" applyFont="1" applyBorder="1"/>
    <xf numFmtId="9" fontId="14" fillId="2" borderId="1" xfId="0" applyNumberFormat="1" applyFont="1" applyFill="1" applyBorder="1"/>
    <xf numFmtId="0" fontId="15" fillId="0" borderId="1" xfId="0" applyFont="1" applyBorder="1"/>
    <xf numFmtId="0" fontId="2" fillId="0" borderId="38" xfId="0" applyFont="1" applyBorder="1"/>
    <xf numFmtId="0" fontId="2" fillId="0" borderId="40" xfId="0" applyFont="1" applyBorder="1"/>
    <xf numFmtId="0" fontId="2" fillId="0" borderId="9" xfId="0" applyFont="1" applyBorder="1"/>
    <xf numFmtId="0" fontId="2" fillId="0" borderId="49" xfId="0" applyFont="1" applyBorder="1"/>
    <xf numFmtId="0" fontId="2" fillId="0" borderId="38" xfId="0" applyFont="1" applyBorder="1" applyAlignment="1">
      <alignment horizontal="center"/>
    </xf>
    <xf numFmtId="0" fontId="2" fillId="0" borderId="6" xfId="0" applyFont="1" applyBorder="1"/>
    <xf numFmtId="3" fontId="14" fillId="0" borderId="42" xfId="0" applyNumberFormat="1" applyFont="1" applyBorder="1"/>
    <xf numFmtId="3" fontId="14" fillId="0" borderId="43" xfId="0" applyNumberFormat="1" applyFont="1" applyBorder="1"/>
    <xf numFmtId="3" fontId="14" fillId="0" borderId="44" xfId="0" applyNumberFormat="1" applyFont="1" applyBorder="1"/>
    <xf numFmtId="3" fontId="14" fillId="0" borderId="51" xfId="0" applyNumberFormat="1" applyFont="1" applyBorder="1"/>
    <xf numFmtId="3" fontId="14" fillId="5" borderId="39" xfId="0" applyNumberFormat="1" applyFont="1" applyFill="1" applyBorder="1"/>
    <xf numFmtId="0" fontId="2" fillId="0" borderId="7" xfId="0" applyFont="1" applyBorder="1"/>
    <xf numFmtId="3" fontId="14" fillId="0" borderId="41" xfId="0" applyNumberFormat="1" applyFont="1" applyBorder="1"/>
    <xf numFmtId="3" fontId="14" fillId="0" borderId="8" xfId="0" applyNumberFormat="1" applyFont="1" applyBorder="1"/>
    <xf numFmtId="3" fontId="14" fillId="0" borderId="1" xfId="0" applyNumberFormat="1" applyFont="1" applyBorder="1"/>
    <xf numFmtId="3" fontId="14" fillId="0" borderId="12" xfId="0" applyNumberFormat="1" applyFont="1" applyBorder="1"/>
    <xf numFmtId="0" fontId="14" fillId="0" borderId="7" xfId="0" applyFont="1" applyBorder="1"/>
    <xf numFmtId="3" fontId="14" fillId="0" borderId="25" xfId="0" applyNumberFormat="1" applyFont="1" applyBorder="1"/>
    <xf numFmtId="3" fontId="14" fillId="0" borderId="27" xfId="0" applyNumberFormat="1" applyFont="1" applyBorder="1"/>
    <xf numFmtId="3" fontId="14" fillId="5" borderId="7" xfId="0" applyNumberFormat="1" applyFont="1" applyFill="1" applyBorder="1"/>
    <xf numFmtId="3" fontId="14" fillId="0" borderId="15" xfId="0" applyNumberFormat="1" applyFont="1" applyBorder="1"/>
    <xf numFmtId="9" fontId="14" fillId="0" borderId="15" xfId="0" applyNumberFormat="1" applyFont="1" applyBorder="1"/>
    <xf numFmtId="9" fontId="14" fillId="0" borderId="12" xfId="0" applyNumberFormat="1" applyFont="1" applyBorder="1"/>
    <xf numFmtId="0" fontId="2" fillId="0" borderId="39" xfId="0" applyFont="1" applyBorder="1"/>
    <xf numFmtId="1" fontId="14" fillId="0" borderId="26" xfId="0" applyNumberFormat="1" applyFont="1" applyBorder="1"/>
    <xf numFmtId="1" fontId="14" fillId="0" borderId="1" xfId="0" applyNumberFormat="1" applyFont="1" applyBorder="1"/>
    <xf numFmtId="1" fontId="14" fillId="0" borderId="5" xfId="0" applyNumberFormat="1" applyFont="1" applyBorder="1"/>
    <xf numFmtId="1" fontId="14" fillId="0" borderId="15" xfId="0" applyNumberFormat="1" applyFont="1" applyBorder="1"/>
    <xf numFmtId="1" fontId="14" fillId="0" borderId="12" xfId="0" applyNumberFormat="1" applyFont="1" applyBorder="1"/>
    <xf numFmtId="1" fontId="14" fillId="5" borderId="7" xfId="0" applyNumberFormat="1" applyFont="1" applyFill="1" applyBorder="1"/>
    <xf numFmtId="0" fontId="2" fillId="0" borderId="50" xfId="0" applyFont="1" applyBorder="1"/>
    <xf numFmtId="1" fontId="14" fillId="0" borderId="16" xfId="0" applyNumberFormat="1" applyFont="1" applyBorder="1"/>
    <xf numFmtId="1" fontId="14" fillId="0" borderId="3" xfId="0" applyNumberFormat="1" applyFont="1" applyBorder="1"/>
    <xf numFmtId="1" fontId="14" fillId="0" borderId="18" xfId="0" applyNumberFormat="1" applyFont="1" applyBorder="1"/>
    <xf numFmtId="1" fontId="14" fillId="5" borderId="50" xfId="0" applyNumberFormat="1" applyFont="1" applyFill="1" applyBorder="1"/>
    <xf numFmtId="0" fontId="2" fillId="5" borderId="38" xfId="0" applyFont="1" applyFill="1" applyBorder="1"/>
    <xf numFmtId="1" fontId="14" fillId="5" borderId="38" xfId="0" applyNumberFormat="1" applyFont="1" applyFill="1" applyBorder="1"/>
    <xf numFmtId="0" fontId="2" fillId="0" borderId="0" xfId="0" applyFont="1" applyAlignment="1">
      <alignment horizontal="center" vertical="center"/>
    </xf>
    <xf numFmtId="0" fontId="2" fillId="0" borderId="10" xfId="0" applyFont="1" applyBorder="1"/>
    <xf numFmtId="0" fontId="2" fillId="0" borderId="26" xfId="0" applyFont="1" applyBorder="1"/>
    <xf numFmtId="1" fontId="14" fillId="0" borderId="41" xfId="0" applyNumberFormat="1" applyFont="1" applyBorder="1"/>
    <xf numFmtId="1" fontId="14" fillId="0" borderId="47" xfId="0" applyNumberFormat="1" applyFont="1" applyBorder="1"/>
    <xf numFmtId="1" fontId="14" fillId="0" borderId="48" xfId="0" applyNumberFormat="1" applyFont="1" applyBorder="1"/>
    <xf numFmtId="0" fontId="2" fillId="0" borderId="52" xfId="0" applyFont="1" applyBorder="1"/>
    <xf numFmtId="1" fontId="14" fillId="0" borderId="53" xfId="0" applyNumberFormat="1" applyFont="1" applyBorder="1"/>
    <xf numFmtId="1" fontId="14" fillId="0" borderId="54" xfId="0" applyNumberFormat="1" applyFont="1" applyBorder="1"/>
    <xf numFmtId="1" fontId="14" fillId="0" borderId="55" xfId="0" applyNumberFormat="1" applyFont="1" applyBorder="1"/>
    <xf numFmtId="0" fontId="2" fillId="0" borderId="46" xfId="0" applyFont="1" applyBorder="1"/>
    <xf numFmtId="0" fontId="14" fillId="0" borderId="16" xfId="0" applyFont="1" applyBorder="1"/>
    <xf numFmtId="0" fontId="14" fillId="0" borderId="3" xfId="0" applyFont="1" applyBorder="1"/>
    <xf numFmtId="0" fontId="14" fillId="0" borderId="4" xfId="0" applyFont="1" applyBorder="1"/>
    <xf numFmtId="0" fontId="14" fillId="5" borderId="0" xfId="0" applyFont="1" applyFill="1"/>
    <xf numFmtId="0" fontId="2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" fillId="5" borderId="29" xfId="0" applyFont="1" applyFill="1" applyBorder="1"/>
    <xf numFmtId="1" fontId="14" fillId="5" borderId="42" xfId="0" applyNumberFormat="1" applyFont="1" applyFill="1" applyBorder="1"/>
    <xf numFmtId="1" fontId="14" fillId="5" borderId="44" xfId="0" applyNumberFormat="1" applyFont="1" applyFill="1" applyBorder="1" applyAlignment="1">
      <alignment horizontal="center"/>
    </xf>
    <xf numFmtId="1" fontId="14" fillId="5" borderId="45" xfId="0" applyNumberFormat="1" applyFont="1" applyFill="1" applyBorder="1" applyAlignment="1">
      <alignment horizontal="center"/>
    </xf>
    <xf numFmtId="0" fontId="2" fillId="5" borderId="26" xfId="0" applyFont="1" applyFill="1" applyBorder="1"/>
    <xf numFmtId="9" fontId="14" fillId="5" borderId="15" xfId="0" applyNumberFormat="1" applyFont="1" applyFill="1" applyBorder="1"/>
    <xf numFmtId="1" fontId="14" fillId="5" borderId="1" xfId="0" applyNumberFormat="1" applyFont="1" applyFill="1" applyBorder="1" applyAlignment="1">
      <alignment horizontal="center"/>
    </xf>
    <xf numFmtId="9" fontId="14" fillId="5" borderId="2" xfId="0" applyNumberFormat="1" applyFont="1" applyFill="1" applyBorder="1" applyAlignment="1">
      <alignment horizontal="center"/>
    </xf>
    <xf numFmtId="2" fontId="14" fillId="5" borderId="15" xfId="0" applyNumberFormat="1" applyFont="1" applyFill="1" applyBorder="1"/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2" fillId="5" borderId="46" xfId="0" applyFont="1" applyFill="1" applyBorder="1"/>
    <xf numFmtId="9" fontId="14" fillId="5" borderId="16" xfId="0" applyNumberFormat="1" applyFont="1" applyFill="1" applyBorder="1"/>
    <xf numFmtId="0" fontId="14" fillId="5" borderId="3" xfId="0" applyFont="1" applyFill="1" applyBorder="1"/>
    <xf numFmtId="0" fontId="14" fillId="5" borderId="4" xfId="0" applyFont="1" applyFill="1" applyBorder="1" applyAlignment="1">
      <alignment horizontal="center"/>
    </xf>
    <xf numFmtId="0" fontId="14" fillId="0" borderId="29" xfId="0" applyFont="1" applyBorder="1"/>
    <xf numFmtId="0" fontId="14" fillId="0" borderId="30" xfId="0" applyFont="1" applyBorder="1"/>
    <xf numFmtId="0" fontId="14" fillId="2" borderId="25" xfId="0" applyFont="1" applyFill="1" applyBorder="1"/>
    <xf numFmtId="0" fontId="14" fillId="2" borderId="11" xfId="0" applyFont="1" applyFill="1" applyBorder="1"/>
    <xf numFmtId="0" fontId="14" fillId="2" borderId="26" xfId="0" applyFont="1" applyFill="1" applyBorder="1"/>
    <xf numFmtId="0" fontId="14" fillId="2" borderId="28" xfId="0" applyFont="1" applyFill="1" applyBorder="1"/>
    <xf numFmtId="0" fontId="14" fillId="2" borderId="23" xfId="0" applyFont="1" applyFill="1" applyBorder="1"/>
    <xf numFmtId="0" fontId="14" fillId="2" borderId="24" xfId="0" applyFont="1" applyFill="1" applyBorder="1"/>
    <xf numFmtId="1" fontId="14" fillId="5" borderId="51" xfId="0" applyNumberFormat="1" applyFont="1" applyFill="1" applyBorder="1" applyAlignment="1">
      <alignment horizontal="center"/>
    </xf>
    <xf numFmtId="9" fontId="14" fillId="5" borderId="12" xfId="0" applyNumberFormat="1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8" xfId="0" applyFont="1" applyFill="1" applyBorder="1" applyAlignment="1">
      <alignment horizontal="center"/>
    </xf>
    <xf numFmtId="1" fontId="14" fillId="5" borderId="6" xfId="0" applyNumberFormat="1" applyFont="1" applyFill="1" applyBorder="1"/>
    <xf numFmtId="9" fontId="14" fillId="5" borderId="7" xfId="0" applyNumberFormat="1" applyFont="1" applyFill="1" applyBorder="1"/>
    <xf numFmtId="2" fontId="14" fillId="5" borderId="7" xfId="0" applyNumberFormat="1" applyFont="1" applyFill="1" applyBorder="1"/>
    <xf numFmtId="9" fontId="14" fillId="5" borderId="50" xfId="0" applyNumberFormat="1" applyFont="1" applyFill="1" applyBorder="1"/>
    <xf numFmtId="0" fontId="14" fillId="0" borderId="1" xfId="0" applyFont="1" applyBorder="1" applyAlignment="1">
      <alignment horizontal="right"/>
    </xf>
    <xf numFmtId="14" fontId="14" fillId="0" borderId="1" xfId="0" applyNumberFormat="1" applyFont="1" applyBorder="1"/>
    <xf numFmtId="14" fontId="14" fillId="0" borderId="1" xfId="0" applyNumberFormat="1" applyFont="1" applyBorder="1" applyAlignment="1">
      <alignment horizontal="right"/>
    </xf>
    <xf numFmtId="0" fontId="14" fillId="0" borderId="11" xfId="0" applyFont="1" applyBorder="1"/>
    <xf numFmtId="0" fontId="14" fillId="0" borderId="24" xfId="0" applyFont="1" applyBorder="1"/>
    <xf numFmtId="2" fontId="14" fillId="0" borderId="1" xfId="0" applyNumberFormat="1" applyFont="1" applyBorder="1"/>
    <xf numFmtId="14" fontId="14" fillId="2" borderId="25" xfId="0" applyNumberFormat="1" applyFont="1" applyFill="1" applyBorder="1"/>
    <xf numFmtId="14" fontId="14" fillId="0" borderId="25" xfId="0" applyNumberFormat="1" applyFont="1" applyBorder="1"/>
    <xf numFmtId="14" fontId="14" fillId="0" borderId="23" xfId="0" applyNumberFormat="1" applyFont="1" applyBorder="1"/>
    <xf numFmtId="1" fontId="0" fillId="6" borderId="36" xfId="0" applyNumberFormat="1" applyFill="1" applyBorder="1" applyAlignment="1">
      <alignment horizontal="right"/>
    </xf>
    <xf numFmtId="0" fontId="0" fillId="2" borderId="36" xfId="0" applyFill="1" applyBorder="1" applyAlignment="1">
      <alignment horizontal="right"/>
    </xf>
    <xf numFmtId="10" fontId="0" fillId="2" borderId="36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9" fontId="0" fillId="0" borderId="0" xfId="0" applyNumberFormat="1"/>
    <xf numFmtId="0" fontId="0" fillId="0" borderId="0" xfId="0" applyNumberFormat="1"/>
    <xf numFmtId="0" fontId="2" fillId="0" borderId="31" xfId="0" applyFont="1" applyBorder="1" applyAlignment="1">
      <alignment horizontal="left" vertical="top" wrapText="1"/>
    </xf>
    <xf numFmtId="0" fontId="14" fillId="0" borderId="32" xfId="0" applyFont="1" applyBorder="1" applyAlignment="1"/>
    <xf numFmtId="0" fontId="14" fillId="0" borderId="33" xfId="0" applyFont="1" applyBorder="1" applyAlignment="1"/>
    <xf numFmtId="0" fontId="14" fillId="2" borderId="14" xfId="0" applyFont="1" applyFill="1" applyBorder="1" applyAlignment="1">
      <alignment wrapText="1"/>
    </xf>
    <xf numFmtId="0" fontId="14" fillId="2" borderId="0" xfId="0" applyFont="1" applyFill="1" applyAlignment="1">
      <alignment wrapText="1"/>
    </xf>
    <xf numFmtId="0" fontId="14" fillId="2" borderId="37" xfId="0" applyFont="1" applyFill="1" applyBorder="1" applyAlignment="1">
      <alignment wrapText="1"/>
    </xf>
    <xf numFmtId="0" fontId="14" fillId="2" borderId="23" xfId="0" applyFont="1" applyFill="1" applyBorder="1" applyAlignment="1">
      <alignment wrapText="1"/>
    </xf>
    <xf numFmtId="0" fontId="14" fillId="2" borderId="13" xfId="0" applyFont="1" applyFill="1" applyBorder="1" applyAlignment="1">
      <alignment wrapText="1"/>
    </xf>
    <xf numFmtId="0" fontId="14" fillId="2" borderId="24" xfId="0" applyFont="1" applyFill="1" applyBorder="1" applyAlignment="1">
      <alignment wrapText="1"/>
    </xf>
    <xf numFmtId="0" fontId="14" fillId="2" borderId="1" xfId="0" applyFont="1" applyFill="1" applyBorder="1" applyAlignment="1"/>
    <xf numFmtId="0" fontId="14" fillId="2" borderId="3" xfId="0" applyFont="1" applyFill="1" applyBorder="1" applyAlignment="1"/>
    <xf numFmtId="0" fontId="2" fillId="0" borderId="0" xfId="0" applyFont="1" applyAlignment="1">
      <alignment horizontal="center"/>
    </xf>
    <xf numFmtId="0" fontId="14" fillId="2" borderId="1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4" fillId="0" borderId="44" xfId="0" applyFont="1" applyBorder="1" applyAlignment="1"/>
    <xf numFmtId="49" fontId="14" fillId="2" borderId="1" xfId="0" applyNumberFormat="1" applyFont="1" applyFill="1" applyBorder="1" applyAlignment="1"/>
    <xf numFmtId="49" fontId="14" fillId="0" borderId="1" xfId="0" applyNumberFormat="1" applyFont="1" applyBorder="1" applyAlignment="1"/>
    <xf numFmtId="0" fontId="14" fillId="2" borderId="1" xfId="0" applyFont="1" applyFill="1" applyBorder="1" applyAlignment="1">
      <alignment readingOrder="1"/>
    </xf>
    <xf numFmtId="0" fontId="14" fillId="0" borderId="1" xfId="0" applyFont="1" applyBorder="1" applyAlignment="1">
      <alignment readingOrder="1"/>
    </xf>
    <xf numFmtId="0" fontId="4" fillId="0" borderId="1" xfId="0" applyFont="1" applyBorder="1" applyAlignment="1">
      <alignment horizontal="left" vertical="center" wrapText="1" readingOrder="1"/>
    </xf>
    <xf numFmtId="0" fontId="0" fillId="0" borderId="1" xfId="0" applyBorder="1" applyAlignment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readingOrder="1"/>
    </xf>
    <xf numFmtId="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 wrapText="1" readingOrder="1"/>
    </xf>
    <xf numFmtId="0" fontId="0" fillId="0" borderId="0" xfId="0" applyAlignment="1">
      <alignment readingOrder="1"/>
    </xf>
    <xf numFmtId="0" fontId="0" fillId="0" borderId="0" xfId="0" applyAlignment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/>
    </xf>
    <xf numFmtId="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9" fontId="0" fillId="3" borderId="15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/>
    <xf numFmtId="0" fontId="0" fillId="0" borderId="32" xfId="0" applyBorder="1" applyAlignment="1"/>
    <xf numFmtId="0" fontId="0" fillId="0" borderId="33" xfId="0" applyBorder="1" applyAlignment="1"/>
    <xf numFmtId="0" fontId="0" fillId="0" borderId="14" xfId="0" applyBorder="1" applyAlignment="1"/>
    <xf numFmtId="0" fontId="0" fillId="0" borderId="37" xfId="0" applyBorder="1" applyAlignment="1"/>
    <xf numFmtId="0" fontId="0" fillId="0" borderId="23" xfId="0" applyBorder="1" applyAlignment="1"/>
    <xf numFmtId="0" fontId="0" fillId="0" borderId="13" xfId="0" applyBorder="1" applyAlignment="1"/>
    <xf numFmtId="0" fontId="0" fillId="0" borderId="24" xfId="0" applyBorder="1" applyAlignment="1"/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4" fillId="0" borderId="18" xfId="0" applyFont="1" applyBorder="1" applyAlignment="1"/>
    <xf numFmtId="0" fontId="14" fillId="0" borderId="56" xfId="0" applyFont="1" applyBorder="1" applyAlignment="1"/>
    <xf numFmtId="0" fontId="14" fillId="0" borderId="57" xfId="0" applyFont="1" applyBorder="1" applyAlignment="1"/>
    <xf numFmtId="0" fontId="14" fillId="0" borderId="1" xfId="0" applyFont="1" applyBorder="1" applyAlignment="1"/>
    <xf numFmtId="0" fontId="14" fillId="0" borderId="12" xfId="0" applyFont="1" applyBorder="1" applyAlignment="1"/>
    <xf numFmtId="0" fontId="14" fillId="0" borderId="27" xfId="0" applyFont="1" applyBorder="1" applyAlignment="1"/>
    <xf numFmtId="0" fontId="14" fillId="0" borderId="5" xfId="0" applyFont="1" applyBorder="1" applyAlignment="1"/>
    <xf numFmtId="0" fontId="14" fillId="0" borderId="19" xfId="0" applyFont="1" applyBorder="1" applyAlignment="1">
      <alignment horizontal="center" vertical="center"/>
    </xf>
    <xf numFmtId="0" fontId="14" fillId="0" borderId="14" xfId="0" applyFont="1" applyBorder="1" applyAlignment="1">
      <alignment wrapText="1"/>
    </xf>
    <xf numFmtId="0" fontId="14" fillId="0" borderId="0" xfId="0" applyFont="1" applyAlignment="1">
      <alignment wrapText="1"/>
    </xf>
    <xf numFmtId="0" fontId="14" fillId="0" borderId="37" xfId="0" applyFont="1" applyBorder="1" applyAlignment="1">
      <alignment wrapText="1"/>
    </xf>
    <xf numFmtId="0" fontId="14" fillId="0" borderId="23" xfId="0" applyFont="1" applyBorder="1" applyAlignment="1">
      <alignment wrapText="1"/>
    </xf>
    <xf numFmtId="0" fontId="14" fillId="0" borderId="13" xfId="0" applyFont="1" applyBorder="1" applyAlignment="1">
      <alignment wrapText="1"/>
    </xf>
    <xf numFmtId="0" fontId="14" fillId="0" borderId="24" xfId="0" applyFont="1" applyBorder="1" applyAlignment="1">
      <alignment wrapText="1"/>
    </xf>
    <xf numFmtId="0" fontId="1" fillId="0" borderId="1" xfId="0" applyFont="1" applyBorder="1" applyAlignment="1">
      <alignment horizontal="center" vertic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</a:t>
            </a:r>
            <a:r>
              <a:rPr lang="de-DE" baseline="0"/>
              <a:t> </a:t>
            </a:r>
            <a:r>
              <a:rPr lang="de-DE"/>
              <a:t>&amp; NPV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1669867279318942"/>
          <c:w val="0.87753018372703417"/>
          <c:h val="0.72104902857671649"/>
        </c:manualLayout>
      </c:layout>
      <c:lineChart>
        <c:grouping val="standard"/>
        <c:varyColors val="0"/>
        <c:ser>
          <c:idx val="1"/>
          <c:order val="1"/>
          <c:tx>
            <c:strRef>
              <c:f>'BC Summary US$'!$A$39</c:f>
              <c:strCache>
                <c:ptCount val="1"/>
                <c:pt idx="0">
                  <c:v>NPV (accumulated)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numRef>
              <c:f>'BC Summary US$'!$B$38:$L$38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US$'!$B$39:$L$39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E-474B-B987-D81D0973A9C5}"/>
            </c:ext>
          </c:extLst>
        </c:ser>
        <c:ser>
          <c:idx val="2"/>
          <c:order val="2"/>
          <c:tx>
            <c:strRef>
              <c:f>'BC Summary US$'!$A$18</c:f>
              <c:strCache>
                <c:ptCount val="1"/>
                <c:pt idx="0">
                  <c:v>Total Revenue (net sales)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'BC Summary US$'!$B$38:$L$38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C6-4E98-9B97-EA21038881B6}"/>
            </c:ext>
          </c:extLst>
        </c:ser>
        <c:ser>
          <c:idx val="3"/>
          <c:order val="3"/>
          <c:tx>
            <c:strRef>
              <c:f>'BC Summary US$'!$A$40</c:f>
              <c:strCache>
                <c:ptCount val="1"/>
                <c:pt idx="0">
                  <c:v>Revenue (accumulated)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'BC Summary US$'!$B$38:$L$38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US$'!$B$40:$L$40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3F-45CA-9DC9-E540F10B3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30744"/>
        <c:axId val="1240311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'BC Summary US$'!$A$38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'BC Summary US$'!$B$38:$L$38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'BC Summary US$'!$B$38:$K$38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8EE-474B-B987-D81D0973A9C5}"/>
                  </c:ext>
                </c:extLst>
              </c15:ser>
            </c15:filteredLineSeries>
          </c:ext>
        </c:extLst>
      </c:lineChart>
      <c:catAx>
        <c:axId val="124030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  <a:headEnd type="none"/>
            <a:tailEnd type="arrow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1136"/>
        <c:crosses val="autoZero"/>
        <c:auto val="1"/>
        <c:lblAlgn val="ctr"/>
        <c:lblOffset val="100"/>
        <c:noMultiLvlLbl val="0"/>
      </c:catAx>
      <c:valAx>
        <c:axId val="124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07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2753398950131232"/>
          <c:y val="2.9109981302868616E-2"/>
          <c:w val="0.25913267716535437"/>
          <c:h val="0.19433928957896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</a:t>
            </a:r>
            <a:r>
              <a:rPr lang="de-DE" baseline="0"/>
              <a:t> </a:t>
            </a:r>
            <a:r>
              <a:rPr lang="de-DE"/>
              <a:t>&amp; NPV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1669867279318942"/>
          <c:w val="0.87753018372703417"/>
          <c:h val="0.72104902857671649"/>
        </c:manualLayout>
      </c:layout>
      <c:lineChart>
        <c:grouping val="standard"/>
        <c:varyColors val="0"/>
        <c:ser>
          <c:idx val="1"/>
          <c:order val="1"/>
          <c:tx>
            <c:strRef>
              <c:f>'BC Summary US$ (EV)'!$A$39</c:f>
              <c:strCache>
                <c:ptCount val="1"/>
                <c:pt idx="0">
                  <c:v>NPV (accumulated)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numRef>
              <c:f>'BC Summary US$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 (EV)'!$B$39:$L$39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9-4876-BE91-4E1428F450D8}"/>
            </c:ext>
          </c:extLst>
        </c:ser>
        <c:ser>
          <c:idx val="2"/>
          <c:order val="2"/>
          <c:tx>
            <c:strRef>
              <c:f>'BC Summary US$ (EV)'!$A$18</c:f>
              <c:strCache>
                <c:ptCount val="1"/>
                <c:pt idx="0">
                  <c:v>Total Revenue (net sales)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'BC Summary US$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 (EV)'!$B$18:$L$18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9-4876-BE91-4E1428F450D8}"/>
            </c:ext>
          </c:extLst>
        </c:ser>
        <c:ser>
          <c:idx val="3"/>
          <c:order val="3"/>
          <c:tx>
            <c:strRef>
              <c:f>'BC Summary US$ (EV)'!$A$40</c:f>
              <c:strCache>
                <c:ptCount val="1"/>
                <c:pt idx="0">
                  <c:v>Revenue (accumulated)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'BC Summary US$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US$ (EV)'!$B$40:$L$40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9-4876-BE91-4E1428F4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30744"/>
        <c:axId val="1240311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'BC Summary US$ (EV)'!$A$38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'BC Summary US$ (EV)'!$B$38:$L$38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'BC Summary US$ (EV)'!$B$38:$K$38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EC9-4876-BE91-4E1428F450D8}"/>
                  </c:ext>
                </c:extLst>
              </c15:ser>
            </c15:filteredLineSeries>
          </c:ext>
        </c:extLst>
      </c:lineChart>
      <c:catAx>
        <c:axId val="124030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  <a:headEnd type="none"/>
            <a:tailEnd type="arrow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1136"/>
        <c:crosses val="autoZero"/>
        <c:auto val="1"/>
        <c:lblAlgn val="ctr"/>
        <c:lblOffset val="100"/>
        <c:noMultiLvlLbl val="0"/>
      </c:catAx>
      <c:valAx>
        <c:axId val="124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07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2753398950131232"/>
          <c:y val="2.9109981302868616E-2"/>
          <c:w val="0.25913267716535437"/>
          <c:h val="0.19433928957896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</a:t>
            </a:r>
            <a:r>
              <a:rPr lang="de-DE" baseline="0"/>
              <a:t> </a:t>
            </a:r>
            <a:r>
              <a:rPr lang="de-DE"/>
              <a:t>&amp; NPV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1669867279318942"/>
          <c:w val="0.87753018372703417"/>
          <c:h val="0.72104902857671649"/>
        </c:manualLayout>
      </c:layout>
      <c:lineChart>
        <c:grouping val="standard"/>
        <c:varyColors val="0"/>
        <c:ser>
          <c:idx val="1"/>
          <c:order val="1"/>
          <c:tx>
            <c:strRef>
              <c:f>'BC Summary €'!$A$39</c:f>
              <c:strCache>
                <c:ptCount val="1"/>
                <c:pt idx="0">
                  <c:v>NPV (accumulated)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numRef>
              <c:f>'BC Summary €'!$B$38:$L$38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€'!$B$39:$L$39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B-45BB-9533-4A62C4F119D0}"/>
            </c:ext>
          </c:extLst>
        </c:ser>
        <c:ser>
          <c:idx val="2"/>
          <c:order val="2"/>
          <c:tx>
            <c:strRef>
              <c:f>'BC Summary €'!$A$18</c:f>
              <c:strCache>
                <c:ptCount val="1"/>
                <c:pt idx="0">
                  <c:v>Total Revenue (net sales)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'BC Summary €'!$B$38:$L$38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B-45BB-9533-4A62C4F119D0}"/>
            </c:ext>
          </c:extLst>
        </c:ser>
        <c:ser>
          <c:idx val="3"/>
          <c:order val="3"/>
          <c:tx>
            <c:strRef>
              <c:f>'BC Summary €'!$A$40</c:f>
              <c:strCache>
                <c:ptCount val="1"/>
                <c:pt idx="0">
                  <c:v>Revenue (accumulated)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'BC Summary €'!$B$38:$L$38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€'!$B$40:$L$40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B-45BB-9533-4A62C4F11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30744"/>
        <c:axId val="1240311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'BC Summary €'!$A$38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'BC Summary €'!$B$38:$L$38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'BC Summary €'!$B$38:$K$38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8BB-45BB-9533-4A62C4F119D0}"/>
                  </c:ext>
                </c:extLst>
              </c15:ser>
            </c15:filteredLineSeries>
          </c:ext>
        </c:extLst>
      </c:lineChart>
      <c:catAx>
        <c:axId val="124030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  <a:headEnd type="none"/>
            <a:tailEnd type="arrow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1136"/>
        <c:crosses val="autoZero"/>
        <c:auto val="1"/>
        <c:lblAlgn val="ctr"/>
        <c:lblOffset val="100"/>
        <c:noMultiLvlLbl val="0"/>
      </c:catAx>
      <c:valAx>
        <c:axId val="124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07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2753398950131232"/>
          <c:y val="2.9109981302868616E-2"/>
          <c:w val="0.25913267716535437"/>
          <c:h val="0.19433928957896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Revenue</a:t>
            </a:r>
            <a:r>
              <a:rPr lang="de-DE" baseline="0"/>
              <a:t> </a:t>
            </a:r>
            <a:r>
              <a:rPr lang="de-DE"/>
              <a:t>&amp; NPV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1669867279318942"/>
          <c:w val="0.87753018372703417"/>
          <c:h val="0.72104902857671649"/>
        </c:manualLayout>
      </c:layout>
      <c:lineChart>
        <c:grouping val="standard"/>
        <c:varyColors val="0"/>
        <c:ser>
          <c:idx val="1"/>
          <c:order val="1"/>
          <c:tx>
            <c:strRef>
              <c:f>'BC Summary € (EV)'!$A$39</c:f>
              <c:strCache>
                <c:ptCount val="1"/>
                <c:pt idx="0">
                  <c:v>NPV (accumulated)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numRef>
              <c:f>'BC Summary €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 (EV)'!$B$39:$L$39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6-42B6-9FC4-58F49A364209}"/>
            </c:ext>
          </c:extLst>
        </c:ser>
        <c:ser>
          <c:idx val="2"/>
          <c:order val="2"/>
          <c:tx>
            <c:strRef>
              <c:f>'BC Summary € (EV)'!$A$18</c:f>
              <c:strCache>
                <c:ptCount val="1"/>
                <c:pt idx="0">
                  <c:v>Total Revenue (net sales)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'BC Summary €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 (EV)'!$B$18:$L$18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6-42B6-9FC4-58F49A364209}"/>
            </c:ext>
          </c:extLst>
        </c:ser>
        <c:ser>
          <c:idx val="3"/>
          <c:order val="3"/>
          <c:tx>
            <c:strRef>
              <c:f>'BC Summary € (EV)'!$A$40</c:f>
              <c:strCache>
                <c:ptCount val="1"/>
                <c:pt idx="0">
                  <c:v>Revenue (accumulated)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'BC Summary € (EV)'!$B$38:$L$38</c:f>
              <c:numCache>
                <c:formatCode>General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'BC Summary € (EV)'!$B$40:$L$40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F6-42B6-9FC4-58F49A364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30744"/>
        <c:axId val="1240311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'BC Summary € (EV)'!$A$38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'BC Summary € (EV)'!$B$38:$L$38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'BC Summary € (EV)'!$B$38:$K$38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2F6-42B6-9FC4-58F49A364209}"/>
                  </c:ext>
                </c:extLst>
              </c15:ser>
            </c15:filteredLineSeries>
          </c:ext>
        </c:extLst>
      </c:lineChart>
      <c:catAx>
        <c:axId val="124030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  <a:headEnd type="none"/>
            <a:tailEnd type="arrow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1136"/>
        <c:crosses val="autoZero"/>
        <c:auto val="1"/>
        <c:lblAlgn val="ctr"/>
        <c:lblOffset val="100"/>
        <c:noMultiLvlLbl val="0"/>
      </c:catAx>
      <c:valAx>
        <c:axId val="124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307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2753398950131232"/>
          <c:y val="2.9109981302868616E-2"/>
          <c:w val="0.25913267716535437"/>
          <c:h val="0.19433928957896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4" name="Picture 1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93949" cy="7307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42</xdr:row>
      <xdr:rowOff>0</xdr:rowOff>
    </xdr:from>
    <xdr:to>
      <xdr:col>13</xdr:col>
      <xdr:colOff>0</xdr:colOff>
      <xdr:row>58</xdr:row>
      <xdr:rowOff>31748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29</xdr:row>
      <xdr:rowOff>62231</xdr:rowOff>
    </xdr:from>
    <xdr:to>
      <xdr:col>11</xdr:col>
      <xdr:colOff>273050</xdr:colOff>
      <xdr:row>30</xdr:row>
      <xdr:rowOff>133350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124700" y="5408931"/>
          <a:ext cx="1530350" cy="2552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Degree of innovation</a:t>
          </a:r>
        </a:p>
        <a:p>
          <a:endParaRPr lang="de-DE" sz="1100" b="1"/>
        </a:p>
      </xdr:txBody>
    </xdr:sp>
    <xdr:clientData/>
  </xdr:twoCellAnchor>
  <xdr:twoCellAnchor>
    <xdr:from>
      <xdr:col>2</xdr:col>
      <xdr:colOff>402594</xdr:colOff>
      <xdr:row>0</xdr:row>
      <xdr:rowOff>85725</xdr:rowOff>
    </xdr:from>
    <xdr:to>
      <xdr:col>2</xdr:col>
      <xdr:colOff>657863</xdr:colOff>
      <xdr:row>7</xdr:row>
      <xdr:rowOff>57152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1301753" y="634366"/>
          <a:ext cx="1352552" cy="2552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market</a:t>
          </a:r>
          <a:r>
            <a:rPr lang="de-DE" sz="1100" b="1" baseline="0"/>
            <a:t> perspective</a:t>
          </a:r>
          <a:endParaRPr lang="de-DE" sz="1100" b="1"/>
        </a:p>
        <a:p>
          <a:endParaRPr lang="de-DE" sz="1100" b="1"/>
        </a:p>
      </xdr:txBody>
    </xdr:sp>
    <xdr:clientData/>
  </xdr:twoCellAnchor>
  <xdr:twoCellAnchor>
    <xdr:from>
      <xdr:col>6</xdr:col>
      <xdr:colOff>708025</xdr:colOff>
      <xdr:row>29</xdr:row>
      <xdr:rowOff>154306</xdr:rowOff>
    </xdr:from>
    <xdr:to>
      <xdr:col>8</xdr:col>
      <xdr:colOff>714375</xdr:colOff>
      <xdr:row>34</xdr:row>
      <xdr:rowOff>28575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51425" y="5783581"/>
          <a:ext cx="1454150" cy="8267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New product</a:t>
          </a:r>
          <a:r>
            <a:rPr lang="de-DE" sz="1100" b="0" baseline="0"/>
            <a:t>/business  platform </a:t>
          </a:r>
          <a:endParaRPr lang="de-DE" sz="1100" b="0"/>
        </a:p>
        <a:p>
          <a:pPr algn="ctr"/>
          <a:endParaRPr lang="de-DE" sz="1100" b="0"/>
        </a:p>
      </xdr:txBody>
    </xdr:sp>
    <xdr:clientData/>
  </xdr:twoCellAnchor>
  <xdr:twoCellAnchor>
    <xdr:from>
      <xdr:col>4</xdr:col>
      <xdr:colOff>698500</xdr:colOff>
      <xdr:row>29</xdr:row>
      <xdr:rowOff>176531</xdr:rowOff>
    </xdr:from>
    <xdr:to>
      <xdr:col>7</xdr:col>
      <xdr:colOff>52916</xdr:colOff>
      <xdr:row>32</xdr:row>
      <xdr:rowOff>95250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77167" y="5806864"/>
          <a:ext cx="1513416" cy="4902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New feature</a:t>
          </a:r>
          <a:r>
            <a:rPr lang="de-DE" sz="1100" b="0" baseline="0"/>
            <a:t>/successor platform </a:t>
          </a:r>
          <a:endParaRPr lang="de-DE" sz="1100" b="0"/>
        </a:p>
        <a:p>
          <a:pPr algn="ctr"/>
          <a:endParaRPr lang="de-DE" sz="1100" b="0"/>
        </a:p>
      </xdr:txBody>
    </xdr:sp>
    <xdr:clientData/>
  </xdr:twoCellAnchor>
  <xdr:twoCellAnchor>
    <xdr:from>
      <xdr:col>2</xdr:col>
      <xdr:colOff>695325</xdr:colOff>
      <xdr:row>29</xdr:row>
      <xdr:rowOff>186056</xdr:rowOff>
    </xdr:from>
    <xdr:to>
      <xdr:col>4</xdr:col>
      <xdr:colOff>701675</xdr:colOff>
      <xdr:row>32</xdr:row>
      <xdr:rowOff>104775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143125" y="5815331"/>
          <a:ext cx="1454150" cy="4902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Custom products/</a:t>
          </a:r>
          <a:r>
            <a:rPr lang="de-DE" sz="1100" b="0" baseline="0"/>
            <a:t>derivatives</a:t>
          </a:r>
          <a:endParaRPr lang="de-DE" sz="1100" b="0"/>
        </a:p>
        <a:p>
          <a:pPr algn="ctr"/>
          <a:endParaRPr lang="de-DE" sz="1100" b="0"/>
        </a:p>
      </xdr:txBody>
    </xdr:sp>
    <xdr:clientData/>
  </xdr:twoCellAnchor>
  <xdr:twoCellAnchor>
    <xdr:from>
      <xdr:col>1</xdr:col>
      <xdr:colOff>285750</xdr:colOff>
      <xdr:row>8</xdr:row>
      <xdr:rowOff>11431</xdr:rowOff>
    </xdr:from>
    <xdr:to>
      <xdr:col>2</xdr:col>
      <xdr:colOff>533400</xdr:colOff>
      <xdr:row>10</xdr:row>
      <xdr:rowOff>114300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47750" y="1484631"/>
          <a:ext cx="1009650" cy="4711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Secure market perspective</a:t>
          </a:r>
        </a:p>
        <a:p>
          <a:pPr algn="ctr"/>
          <a:endParaRPr lang="de-DE" sz="1100" b="0"/>
        </a:p>
      </xdr:txBody>
    </xdr:sp>
    <xdr:clientData/>
  </xdr:twoCellAnchor>
  <xdr:twoCellAnchor>
    <xdr:from>
      <xdr:col>1</xdr:col>
      <xdr:colOff>304800</xdr:colOff>
      <xdr:row>16</xdr:row>
      <xdr:rowOff>5081</xdr:rowOff>
    </xdr:from>
    <xdr:to>
      <xdr:col>2</xdr:col>
      <xdr:colOff>552450</xdr:colOff>
      <xdr:row>18</xdr:row>
      <xdr:rowOff>107950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66800" y="2951481"/>
          <a:ext cx="1009650" cy="4711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Mixed market perspective</a:t>
          </a:r>
        </a:p>
        <a:p>
          <a:pPr algn="ctr"/>
          <a:endParaRPr lang="de-DE" sz="1100" b="0"/>
        </a:p>
      </xdr:txBody>
    </xdr:sp>
    <xdr:clientData/>
  </xdr:twoCellAnchor>
  <xdr:twoCellAnchor>
    <xdr:from>
      <xdr:col>1</xdr:col>
      <xdr:colOff>133350</xdr:colOff>
      <xdr:row>23</xdr:row>
      <xdr:rowOff>106681</xdr:rowOff>
    </xdr:from>
    <xdr:to>
      <xdr:col>2</xdr:col>
      <xdr:colOff>533400</xdr:colOff>
      <xdr:row>26</xdr:row>
      <xdr:rowOff>25400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895350" y="4342131"/>
          <a:ext cx="1162050" cy="4711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 b="0"/>
            <a:t>Unsecure market perspective</a:t>
          </a:r>
        </a:p>
        <a:p>
          <a:pPr algn="ctr"/>
          <a:endParaRPr lang="de-DE" sz="11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184150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number of variants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3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variant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</xdr:rowOff>
        </xdr:from>
        <xdr:to>
          <xdr:col>15</xdr:col>
          <xdr:colOff>0</xdr:colOff>
          <xdr:row>9</xdr:row>
          <xdr:rowOff>19050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3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Transfer SoS &amp; EoS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2" name="Picture 16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42</xdr:row>
      <xdr:rowOff>0</xdr:rowOff>
    </xdr:from>
    <xdr:to>
      <xdr:col>13</xdr:col>
      <xdr:colOff>0</xdr:colOff>
      <xdr:row>58</xdr:row>
      <xdr:rowOff>31748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4" name="Picture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2" name="Picture 16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42</xdr:row>
      <xdr:rowOff>0</xdr:rowOff>
    </xdr:from>
    <xdr:to>
      <xdr:col>13</xdr:col>
      <xdr:colOff>0</xdr:colOff>
      <xdr:row>58</xdr:row>
      <xdr:rowOff>31748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4" name="Picture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579966</xdr:colOff>
      <xdr:row>0</xdr:row>
      <xdr:rowOff>171981</xdr:rowOff>
    </xdr:from>
    <xdr:to>
      <xdr:col>1</xdr:col>
      <xdr:colOff>634998</xdr:colOff>
      <xdr:row>4</xdr:row>
      <xdr:rowOff>119552</xdr:rowOff>
    </xdr:to>
    <xdr:pic>
      <xdr:nvPicPr>
        <xdr:cNvPr id="2" name="Picture 16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966" y="171981"/>
          <a:ext cx="2388657" cy="7286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42</xdr:row>
      <xdr:rowOff>0</xdr:rowOff>
    </xdr:from>
    <xdr:to>
      <xdr:col>13</xdr:col>
      <xdr:colOff>0</xdr:colOff>
      <xdr:row>58</xdr:row>
      <xdr:rowOff>31748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400A-D080-4B2D-89E0-E0DB96607983}">
  <sheetPr>
    <tabColor rgb="FFFFFF00"/>
  </sheetPr>
  <dimension ref="A1:I2"/>
  <sheetViews>
    <sheetView tabSelected="1" workbookViewId="0">
      <selection activeCell="B7" sqref="B7"/>
    </sheetView>
  </sheetViews>
  <sheetFormatPr defaultRowHeight="14.5" x14ac:dyDescent="0.35"/>
  <cols>
    <col min="1" max="1" width="14.1796875" bestFit="1" customWidth="1"/>
    <col min="2" max="2" width="15.6328125" bestFit="1" customWidth="1"/>
    <col min="3" max="3" width="14.08984375" bestFit="1" customWidth="1"/>
    <col min="4" max="4" width="10.453125" bestFit="1" customWidth="1"/>
    <col min="7" max="7" width="15.453125" bestFit="1" customWidth="1"/>
    <col min="8" max="8" width="15.6328125" bestFit="1" customWidth="1"/>
  </cols>
  <sheetData>
    <row r="1" spans="1:9" x14ac:dyDescent="0.35">
      <c r="A1" t="s">
        <v>226</v>
      </c>
      <c r="B1" t="s">
        <v>219</v>
      </c>
      <c r="C1" t="s">
        <v>220</v>
      </c>
      <c r="D1" t="s">
        <v>221</v>
      </c>
      <c r="E1" t="s">
        <v>18</v>
      </c>
      <c r="F1" t="s">
        <v>22</v>
      </c>
      <c r="G1" t="s">
        <v>222</v>
      </c>
      <c r="H1" t="s">
        <v>223</v>
      </c>
      <c r="I1" t="s">
        <v>225</v>
      </c>
    </row>
    <row r="2" spans="1:9" x14ac:dyDescent="0.35">
      <c r="A2">
        <f>'BC Summary US$'!B13</f>
        <v>541</v>
      </c>
      <c r="B2" s="91" t="str">
        <f>'BC Summary US$'!M18</f>
        <v>1 MUSD</v>
      </c>
      <c r="C2" s="38">
        <f>'Revenue details'!C20</f>
        <v>11</v>
      </c>
      <c r="D2" s="224">
        <f>'BC Summary US$'!K12</f>
        <v>0.2</v>
      </c>
      <c r="E2" s="224">
        <f>'BC Summary US$'!K13</f>
        <v>0.5</v>
      </c>
      <c r="F2" s="224">
        <f>'BC Summary US$'!K14</f>
        <v>0.3</v>
      </c>
      <c r="G2" s="225">
        <f>'BC Summary US$'!B46</f>
        <v>5</v>
      </c>
      <c r="H2" s="224">
        <f>'BC Summary US$'!B45</f>
        <v>0.7</v>
      </c>
      <c r="I2" s="38">
        <f>'BC Summary US$'!B44</f>
        <v>230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FFFF00"/>
    <pageSetUpPr fitToPage="1"/>
  </sheetPr>
  <dimension ref="A1:N58"/>
  <sheetViews>
    <sheetView showGridLines="0" zoomScale="80" zoomScaleNormal="80" workbookViewId="0">
      <selection activeCell="K12" sqref="K12"/>
    </sheetView>
  </sheetViews>
  <sheetFormatPr defaultColWidth="10.81640625" defaultRowHeight="14.5" outlineLevelRow="1" x14ac:dyDescent="0.35"/>
  <cols>
    <col min="1" max="1" width="35" bestFit="1" customWidth="1"/>
    <col min="2" max="12" width="16.54296875" customWidth="1"/>
    <col min="13" max="13" width="16.54296875" bestFit="1" customWidth="1"/>
    <col min="14" max="14" width="14.1796875" bestFit="1" customWidth="1"/>
    <col min="15" max="15" width="11.81640625" bestFit="1" customWidth="1"/>
  </cols>
  <sheetData>
    <row r="1" spans="1:14" ht="15" thickBot="1" x14ac:dyDescent="0.4"/>
    <row r="2" spans="1:14" ht="15.5" x14ac:dyDescent="0.35">
      <c r="C2" s="5" t="s">
        <v>0</v>
      </c>
      <c r="E2" s="238"/>
      <c r="F2" s="239"/>
      <c r="G2" s="240"/>
      <c r="I2" s="226" t="s">
        <v>1</v>
      </c>
      <c r="J2" s="227"/>
      <c r="K2" s="227"/>
      <c r="L2" s="227"/>
      <c r="M2" s="228"/>
    </row>
    <row r="3" spans="1:14" x14ac:dyDescent="0.35">
      <c r="C3" s="1" t="s">
        <v>2</v>
      </c>
      <c r="E3" s="241"/>
      <c r="F3" s="242"/>
      <c r="G3" s="243"/>
      <c r="I3" s="229"/>
      <c r="J3" s="230"/>
      <c r="K3" s="230"/>
      <c r="L3" s="230"/>
      <c r="M3" s="231"/>
    </row>
    <row r="4" spans="1:14" x14ac:dyDescent="0.35">
      <c r="I4" s="229"/>
      <c r="J4" s="230"/>
      <c r="K4" s="230"/>
      <c r="L4" s="230"/>
      <c r="M4" s="231"/>
    </row>
    <row r="5" spans="1:14" x14ac:dyDescent="0.35">
      <c r="I5" s="229"/>
      <c r="J5" s="230"/>
      <c r="K5" s="230"/>
      <c r="L5" s="230"/>
      <c r="M5" s="231"/>
    </row>
    <row r="6" spans="1:14" ht="15.5" x14ac:dyDescent="0.35">
      <c r="A6" s="237" t="s">
        <v>3</v>
      </c>
      <c r="B6" s="237"/>
      <c r="E6" s="244" t="s">
        <v>4</v>
      </c>
      <c r="F6" s="245"/>
      <c r="G6" s="245"/>
      <c r="I6" s="229"/>
      <c r="J6" s="230"/>
      <c r="K6" s="230"/>
      <c r="L6" s="230"/>
      <c r="M6" s="231"/>
    </row>
    <row r="7" spans="1:14" ht="15" thickBot="1" x14ac:dyDescent="0.4">
      <c r="E7" s="245"/>
      <c r="F7" s="245"/>
      <c r="G7" s="245"/>
      <c r="I7" s="232"/>
      <c r="J7" s="233"/>
      <c r="K7" s="233"/>
      <c r="L7" s="233"/>
      <c r="M7" s="234"/>
    </row>
    <row r="8" spans="1:14" ht="15.5" x14ac:dyDescent="0.35">
      <c r="A8" s="112" t="s">
        <v>5</v>
      </c>
      <c r="B8" s="249"/>
      <c r="C8" s="250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ht="15.5" x14ac:dyDescent="0.35">
      <c r="A9" s="112" t="s">
        <v>6</v>
      </c>
      <c r="B9" s="247"/>
      <c r="C9" s="248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ht="15.5" x14ac:dyDescent="0.3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ht="15.5" x14ac:dyDescent="0.35">
      <c r="A11" s="112" t="s">
        <v>7</v>
      </c>
      <c r="B11" s="114"/>
      <c r="C11" s="113"/>
      <c r="D11" s="112" t="s">
        <v>8</v>
      </c>
      <c r="E11" s="115">
        <v>44562</v>
      </c>
      <c r="F11" s="113"/>
      <c r="G11" s="112" t="s">
        <v>9</v>
      </c>
      <c r="H11" s="116">
        <v>0.104</v>
      </c>
      <c r="I11" s="113"/>
      <c r="J11" s="117" t="s">
        <v>10</v>
      </c>
      <c r="K11" s="113"/>
      <c r="L11" s="113"/>
      <c r="M11" s="113"/>
      <c r="N11" s="113"/>
    </row>
    <row r="12" spans="1:14" ht="15.5" x14ac:dyDescent="0.35">
      <c r="A12" s="112" t="s">
        <v>11</v>
      </c>
      <c r="B12" s="118"/>
      <c r="C12" s="113"/>
      <c r="D12" s="112" t="s">
        <v>12</v>
      </c>
      <c r="E12" s="118"/>
      <c r="F12" s="113"/>
      <c r="G12" s="112" t="s">
        <v>13</v>
      </c>
      <c r="H12" s="119">
        <f>'Expected value'!P22</f>
        <v>0.6</v>
      </c>
      <c r="I12" s="113"/>
      <c r="J12" s="120" t="s">
        <v>14</v>
      </c>
      <c r="K12" s="121">
        <v>0.2</v>
      </c>
      <c r="L12" s="113"/>
      <c r="M12" s="113"/>
      <c r="N12" s="113"/>
    </row>
    <row r="13" spans="1:14" ht="15.5" x14ac:dyDescent="0.35">
      <c r="A13" s="112" t="s">
        <v>15</v>
      </c>
      <c r="B13" s="114">
        <v>541</v>
      </c>
      <c r="C13" s="113"/>
      <c r="D13" s="112" t="s">
        <v>16</v>
      </c>
      <c r="E13" s="118"/>
      <c r="F13" s="113"/>
      <c r="G13" s="112" t="s">
        <v>17</v>
      </c>
      <c r="H13" s="216">
        <v>0.96260000000000001</v>
      </c>
      <c r="I13" s="113"/>
      <c r="J13" s="120" t="s">
        <v>18</v>
      </c>
      <c r="K13" s="121">
        <v>0.5</v>
      </c>
      <c r="L13" s="113"/>
      <c r="M13" s="113"/>
      <c r="N13" s="113"/>
    </row>
    <row r="14" spans="1:14" ht="15.5" x14ac:dyDescent="0.35">
      <c r="A14" s="112" t="s">
        <v>19</v>
      </c>
      <c r="B14" s="114"/>
      <c r="C14" s="113"/>
      <c r="D14" s="112" t="s">
        <v>20</v>
      </c>
      <c r="E14" s="122">
        <f>DATEDIF(E12,E13,"m")</f>
        <v>0</v>
      </c>
      <c r="F14" s="113"/>
      <c r="G14" s="112" t="s">
        <v>21</v>
      </c>
      <c r="H14" s="216">
        <f>IF('Revenue details'!C5="EUR", H13, 1)</f>
        <v>0.96260000000000001</v>
      </c>
      <c r="I14" s="113"/>
      <c r="J14" s="120" t="s">
        <v>22</v>
      </c>
      <c r="K14" s="121">
        <v>0.3</v>
      </c>
      <c r="L14" s="113"/>
      <c r="M14" s="113"/>
      <c r="N14" s="113"/>
    </row>
    <row r="15" spans="1:14" ht="15.5" x14ac:dyDescent="0.35">
      <c r="A15" s="112" t="s">
        <v>23</v>
      </c>
      <c r="B15" s="114"/>
      <c r="C15" s="113"/>
      <c r="D15" s="112" t="s">
        <v>24</v>
      </c>
      <c r="E15" s="115"/>
      <c r="F15" s="113"/>
      <c r="G15" s="112" t="s">
        <v>25</v>
      </c>
      <c r="H15" s="114" t="s">
        <v>26</v>
      </c>
      <c r="I15" s="113"/>
      <c r="J15" s="113"/>
      <c r="K15" s="113"/>
      <c r="L15" s="113"/>
      <c r="M15" s="113"/>
      <c r="N15" s="113"/>
    </row>
    <row r="16" spans="1:14" ht="16" thickBot="1" x14ac:dyDescent="0.4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1:14" ht="16" thickBot="1" x14ac:dyDescent="0.4">
      <c r="A17" s="123" t="s">
        <v>27</v>
      </c>
      <c r="B17" s="124">
        <f>YEAR(E11)</f>
        <v>2022</v>
      </c>
      <c r="C17" s="125">
        <f>B17+1</f>
        <v>2023</v>
      </c>
      <c r="D17" s="125">
        <f>C17+1</f>
        <v>2024</v>
      </c>
      <c r="E17" s="125">
        <f t="shared" ref="E17:L17" si="0">D17+1</f>
        <v>2025</v>
      </c>
      <c r="F17" s="125">
        <f t="shared" si="0"/>
        <v>2026</v>
      </c>
      <c r="G17" s="125">
        <f t="shared" si="0"/>
        <v>2027</v>
      </c>
      <c r="H17" s="125">
        <f t="shared" si="0"/>
        <v>2028</v>
      </c>
      <c r="I17" s="125">
        <f t="shared" si="0"/>
        <v>2029</v>
      </c>
      <c r="J17" s="125">
        <f t="shared" si="0"/>
        <v>2030</v>
      </c>
      <c r="K17" s="125">
        <f t="shared" si="0"/>
        <v>2031</v>
      </c>
      <c r="L17" s="126">
        <f t="shared" si="0"/>
        <v>2032</v>
      </c>
      <c r="M17" s="127" t="s">
        <v>28</v>
      </c>
      <c r="N17" s="113"/>
    </row>
    <row r="18" spans="1:14" ht="15.5" x14ac:dyDescent="0.35">
      <c r="A18" s="128" t="s">
        <v>29</v>
      </c>
      <c r="B18" s="129">
        <f>B19+B22+$H$14*SUM('Revenue details'!E190:H190)/1000</f>
        <v>0</v>
      </c>
      <c r="C18" s="130">
        <f>C19+C22+$H$14*SUM('Revenue details'!I190:L190)/1000</f>
        <v>0</v>
      </c>
      <c r="D18" s="130">
        <f>D19+D22+$H$14*SUM('Revenue details'!M190:P190)/1000</f>
        <v>0</v>
      </c>
      <c r="E18" s="130">
        <f>E19+E22+$H$14*SUM('Revenue details'!Q190:T190)/1000</f>
        <v>0</v>
      </c>
      <c r="F18" s="130">
        <f>F19+F22+$H$14*SUM('Revenue details'!U190:X190)/1000</f>
        <v>0</v>
      </c>
      <c r="G18" s="130">
        <f>G19+G22+$H$14*SUM('Revenue details'!Y190:AB190)/1000</f>
        <v>0</v>
      </c>
      <c r="H18" s="130">
        <f>H19+H22+$H$14*SUM('Revenue details'!AC190:AF190)/1000</f>
        <v>0</v>
      </c>
      <c r="I18" s="130">
        <f>I19+I22+$H$14*SUM('Revenue details'!AG190:AJ190)/1000</f>
        <v>0</v>
      </c>
      <c r="J18" s="130">
        <f>J19+J22+$H$14*SUM('Revenue details'!AK190:AN190)/1000</f>
        <v>0</v>
      </c>
      <c r="K18" s="131">
        <f>K19+K22+$H$14*SUM('Revenue details'!AO190:AR190)/1000</f>
        <v>0</v>
      </c>
      <c r="L18" s="132">
        <f>L19+L22+$H$14*SUM('Revenue details'!AS190:AV190)/1000</f>
        <v>0</v>
      </c>
      <c r="M18" s="133" t="s">
        <v>224</v>
      </c>
      <c r="N18" s="113"/>
    </row>
    <row r="19" spans="1:14" ht="15.5" x14ac:dyDescent="0.35">
      <c r="A19" s="134" t="s">
        <v>30</v>
      </c>
      <c r="B19" s="135">
        <f>SUM(B20:B21)</f>
        <v>0</v>
      </c>
      <c r="C19" s="136">
        <f t="shared" ref="C19:L19" si="1">SUM(C20:C21)</f>
        <v>0</v>
      </c>
      <c r="D19" s="136">
        <f t="shared" si="1"/>
        <v>0</v>
      </c>
      <c r="E19" s="136">
        <f t="shared" si="1"/>
        <v>0</v>
      </c>
      <c r="F19" s="136">
        <f t="shared" si="1"/>
        <v>0</v>
      </c>
      <c r="G19" s="136">
        <f t="shared" si="1"/>
        <v>0</v>
      </c>
      <c r="H19" s="136">
        <f t="shared" si="1"/>
        <v>0</v>
      </c>
      <c r="I19" s="136">
        <f t="shared" si="1"/>
        <v>0</v>
      </c>
      <c r="J19" s="136">
        <f t="shared" si="1"/>
        <v>0</v>
      </c>
      <c r="K19" s="137">
        <f t="shared" si="1"/>
        <v>0</v>
      </c>
      <c r="L19" s="138">
        <f t="shared" si="1"/>
        <v>0</v>
      </c>
      <c r="M19" s="139"/>
      <c r="N19" s="113"/>
    </row>
    <row r="20" spans="1:14" ht="15.5" hidden="1" outlineLevel="1" x14ac:dyDescent="0.35">
      <c r="A20" s="134" t="s">
        <v>31</v>
      </c>
      <c r="B20" s="140">
        <f>$H$14*SUM('Revenue details'!E185:H185)/1000</f>
        <v>0</v>
      </c>
      <c r="C20" s="137">
        <f>$H$14*SUM('Revenue details'!I185:L185)/1000</f>
        <v>0</v>
      </c>
      <c r="D20" s="137">
        <f>$H$14*SUM('Revenue details'!M185:P185)/1000</f>
        <v>0</v>
      </c>
      <c r="E20" s="137">
        <f>$H$14*SUM('Revenue details'!Q185:T185)/1000</f>
        <v>0</v>
      </c>
      <c r="F20" s="137">
        <f>$H$14*SUM('Revenue details'!U185:X185)/1000</f>
        <v>0</v>
      </c>
      <c r="G20" s="137">
        <f>$H$14*SUM('Revenue details'!Y185:AB185)/1000</f>
        <v>0</v>
      </c>
      <c r="H20" s="137">
        <f>$H$14*SUM('Revenue details'!AC185:AF185)/1000</f>
        <v>0</v>
      </c>
      <c r="I20" s="137">
        <f>$H$14*SUM('Revenue details'!AG185:AJ185)/1000</f>
        <v>0</v>
      </c>
      <c r="J20" s="137">
        <f>$H$14*SUM('Revenue details'!AK185:AN185)/1000</f>
        <v>0</v>
      </c>
      <c r="K20" s="137">
        <f>$H$14*SUM('Revenue details'!AO185:AR185)/1000</f>
        <v>0</v>
      </c>
      <c r="L20" s="141">
        <f>$H$14*SUM('Revenue details'!AS185:AV185)/1000</f>
        <v>0</v>
      </c>
      <c r="M20" s="139"/>
      <c r="N20" s="113"/>
    </row>
    <row r="21" spans="1:14" ht="15.5" hidden="1" outlineLevel="1" x14ac:dyDescent="0.35">
      <c r="A21" s="134" t="s">
        <v>32</v>
      </c>
      <c r="B21" s="140">
        <f>$H$14*SUM('Revenue details'!E186:H186)/1000</f>
        <v>0</v>
      </c>
      <c r="C21" s="137">
        <f>$H$14*SUM('Revenue details'!I186:L186)/1000</f>
        <v>0</v>
      </c>
      <c r="D21" s="137">
        <f>$H$14*SUM('Revenue details'!M186:P186)/1000</f>
        <v>0</v>
      </c>
      <c r="E21" s="137">
        <f>$H$14*SUM('Revenue details'!Q186:T186)/1000</f>
        <v>0</v>
      </c>
      <c r="F21" s="137">
        <f>$H$14*SUM('Revenue details'!U186:X186)/1000</f>
        <v>0</v>
      </c>
      <c r="G21" s="137">
        <f>$H$14*SUM('Revenue details'!Y186:AB186)/1000</f>
        <v>0</v>
      </c>
      <c r="H21" s="137">
        <f>$H$14*SUM('Revenue details'!AC186:AF186)/1000</f>
        <v>0</v>
      </c>
      <c r="I21" s="137">
        <f>$H$14*SUM('Revenue details'!AG186:AJ186)/1000</f>
        <v>0</v>
      </c>
      <c r="J21" s="137">
        <f>$H$14*SUM('Revenue details'!AK186:AN186)/1000</f>
        <v>0</v>
      </c>
      <c r="K21" s="137">
        <f>$H$14*SUM('Revenue details'!AO186:AR186)/1000</f>
        <v>0</v>
      </c>
      <c r="L21" s="141">
        <f>$H$14*SUM('Revenue details'!AS186:AV186)/1000</f>
        <v>0</v>
      </c>
      <c r="M21" s="139"/>
      <c r="N21" s="113"/>
    </row>
    <row r="22" spans="1:14" ht="15.5" collapsed="1" x14ac:dyDescent="0.35">
      <c r="A22" s="134" t="s">
        <v>33</v>
      </c>
      <c r="B22" s="135">
        <f>SUM(B23:B25)</f>
        <v>0</v>
      </c>
      <c r="C22" s="136">
        <f t="shared" ref="C22:L22" si="2">SUM(C23:C25)</f>
        <v>0</v>
      </c>
      <c r="D22" s="136">
        <f t="shared" si="2"/>
        <v>0</v>
      </c>
      <c r="E22" s="136">
        <f t="shared" si="2"/>
        <v>0</v>
      </c>
      <c r="F22" s="136">
        <f t="shared" si="2"/>
        <v>0</v>
      </c>
      <c r="G22" s="136">
        <f t="shared" si="2"/>
        <v>0</v>
      </c>
      <c r="H22" s="136">
        <f t="shared" si="2"/>
        <v>0</v>
      </c>
      <c r="I22" s="136">
        <f t="shared" si="2"/>
        <v>0</v>
      </c>
      <c r="J22" s="136">
        <f t="shared" si="2"/>
        <v>0</v>
      </c>
      <c r="K22" s="137">
        <f t="shared" si="2"/>
        <v>0</v>
      </c>
      <c r="L22" s="138">
        <f t="shared" si="2"/>
        <v>0</v>
      </c>
      <c r="M22" s="139"/>
      <c r="N22" s="113"/>
    </row>
    <row r="23" spans="1:14" ht="15.5" hidden="1" outlineLevel="1" x14ac:dyDescent="0.35">
      <c r="A23" s="134" t="s">
        <v>34</v>
      </c>
      <c r="B23" s="140">
        <f>$H$14*SUM('Revenue details'!E187:H187)/1000</f>
        <v>0</v>
      </c>
      <c r="C23" s="137">
        <f>$H$14*SUM('Revenue details'!I187:L187)/1000</f>
        <v>0</v>
      </c>
      <c r="D23" s="137">
        <f>$H$14*SUM('Revenue details'!M187:P187)/1000</f>
        <v>0</v>
      </c>
      <c r="E23" s="137">
        <f>$H$14*SUM('Revenue details'!Q187:T187)/1000</f>
        <v>0</v>
      </c>
      <c r="F23" s="137">
        <f>$H$14*SUM('Revenue details'!U187:X187)/1000</f>
        <v>0</v>
      </c>
      <c r="G23" s="137">
        <f>$H$14*SUM('Revenue details'!Y187:AB187)/1000</f>
        <v>0</v>
      </c>
      <c r="H23" s="137">
        <f>$H$14*SUM('Revenue details'!AC187:AF187)/1000</f>
        <v>0</v>
      </c>
      <c r="I23" s="137">
        <f>$H$14*SUM('Revenue details'!AG187:AJ187)/1000</f>
        <v>0</v>
      </c>
      <c r="J23" s="137">
        <f>$H$14*SUM('Revenue details'!AK187:AN187)/1000</f>
        <v>0</v>
      </c>
      <c r="K23" s="137">
        <f>$H$14*SUM('Revenue details'!AO187:AR187)/1000</f>
        <v>0</v>
      </c>
      <c r="L23" s="138">
        <f>$H$14*SUM('Revenue details'!AS187:AV187)/1000</f>
        <v>0</v>
      </c>
      <c r="M23" s="139"/>
      <c r="N23" s="113"/>
    </row>
    <row r="24" spans="1:14" ht="15.5" hidden="1" outlineLevel="1" x14ac:dyDescent="0.35">
      <c r="A24" s="134" t="s">
        <v>35</v>
      </c>
      <c r="B24" s="140">
        <f>$H$14*SUM('Revenue details'!E188:H188)/1000</f>
        <v>0</v>
      </c>
      <c r="C24" s="137">
        <f>$H$14*SUM('Revenue details'!I188:L188)/1000</f>
        <v>0</v>
      </c>
      <c r="D24" s="137">
        <f>$H$14*SUM('Revenue details'!M188:P188)/1000</f>
        <v>0</v>
      </c>
      <c r="E24" s="137">
        <f>$H$14*SUM('Revenue details'!Q188:T188)/1000</f>
        <v>0</v>
      </c>
      <c r="F24" s="137">
        <f>$H$14*SUM('Revenue details'!U188:X188)/1000</f>
        <v>0</v>
      </c>
      <c r="G24" s="137">
        <f>$H$14*SUM('Revenue details'!Y188:AB188)/1000</f>
        <v>0</v>
      </c>
      <c r="H24" s="137">
        <f>$H$14*SUM('Revenue details'!AC188:AF188)/1000</f>
        <v>0</v>
      </c>
      <c r="I24" s="137">
        <f>$H$14*SUM('Revenue details'!AG188:AJ188)/1000</f>
        <v>0</v>
      </c>
      <c r="J24" s="137">
        <f>$H$14*SUM('Revenue details'!AK188:AN188)/1000</f>
        <v>0</v>
      </c>
      <c r="K24" s="137">
        <f>$H$14*SUM('Revenue details'!AO188:AR188)/1000</f>
        <v>0</v>
      </c>
      <c r="L24" s="138">
        <f>$H$14*SUM('Revenue details'!AS188:AV188)/1000</f>
        <v>0</v>
      </c>
      <c r="M24" s="139"/>
      <c r="N24" s="113"/>
    </row>
    <row r="25" spans="1:14" ht="15.5" hidden="1" outlineLevel="1" x14ac:dyDescent="0.35">
      <c r="A25" s="134" t="s">
        <v>36</v>
      </c>
      <c r="B25" s="140">
        <f>$H$14*SUM('Revenue details'!E189:H189)/1000</f>
        <v>0</v>
      </c>
      <c r="C25" s="137">
        <f>$H$14*SUM('Revenue details'!I189:L189)/1000</f>
        <v>0</v>
      </c>
      <c r="D25" s="137">
        <f>$H$14*SUM('Revenue details'!M189:P189)/1000</f>
        <v>0</v>
      </c>
      <c r="E25" s="137">
        <f>$H$14*SUM('Revenue details'!Q189:T189)/1000</f>
        <v>0</v>
      </c>
      <c r="F25" s="137">
        <f>$H$14*SUM('Revenue details'!U189:X189)/1000</f>
        <v>0</v>
      </c>
      <c r="G25" s="137">
        <f>$H$14*SUM('Revenue details'!Y189:AB189)/1000</f>
        <v>0</v>
      </c>
      <c r="H25" s="137">
        <f>$H$14*SUM('Revenue details'!AC189:AF189)/1000</f>
        <v>0</v>
      </c>
      <c r="I25" s="137">
        <f>$H$14*SUM('Revenue details'!AG189:AJ189)/1000</f>
        <v>0</v>
      </c>
      <c r="J25" s="137">
        <f>$H$14*SUM('Revenue details'!AK189:AN189)/1000</f>
        <v>0</v>
      </c>
      <c r="K25" s="137">
        <f>$H$14*SUM('Revenue details'!AO189:AR189)/1000</f>
        <v>0</v>
      </c>
      <c r="L25" s="138">
        <f>$H$14*SUM('Revenue details'!AS189:AV189)/1000</f>
        <v>0</v>
      </c>
      <c r="M25" s="139"/>
      <c r="N25" s="113"/>
    </row>
    <row r="26" spans="1:14" ht="15.5" collapsed="1" x14ac:dyDescent="0.35">
      <c r="A26" s="134" t="s">
        <v>37</v>
      </c>
      <c r="B26" s="140">
        <f>$H$14*SUM('Revenue details'!E192:H192)/1000</f>
        <v>0</v>
      </c>
      <c r="C26" s="137">
        <f>$H$14*SUM('Revenue details'!I192:L192)/1000</f>
        <v>0</v>
      </c>
      <c r="D26" s="137">
        <f>$H$14*SUM('Revenue details'!M192:P192)/1000</f>
        <v>0</v>
      </c>
      <c r="E26" s="137">
        <f>$H$14*SUM('Revenue details'!Q192:T192)/1000</f>
        <v>0</v>
      </c>
      <c r="F26" s="137">
        <f>$H$14*SUM('Revenue details'!U192:X192)/1000</f>
        <v>0</v>
      </c>
      <c r="G26" s="137">
        <f>$H$14*SUM('Revenue details'!Y192:AB192)/1000</f>
        <v>0</v>
      </c>
      <c r="H26" s="137">
        <f>$H$14*SUM('Revenue details'!AC192:AF192)/1000</f>
        <v>0</v>
      </c>
      <c r="I26" s="137">
        <f>$H$14*SUM('Revenue details'!AG192:AJ192)/1000</f>
        <v>0</v>
      </c>
      <c r="J26" s="137">
        <f>$H$14*SUM('Revenue details'!AK192:AN192)/1000</f>
        <v>0</v>
      </c>
      <c r="K26" s="137">
        <f>$H$14*SUM('Revenue details'!AO192:AR192)/1000</f>
        <v>0</v>
      </c>
      <c r="L26" s="138">
        <f>$H$14*SUM('Revenue details'!AS192:AV192)/1000</f>
        <v>0</v>
      </c>
      <c r="M26" s="142">
        <f>SUM(B26:L26)</f>
        <v>0</v>
      </c>
      <c r="N26" s="113"/>
    </row>
    <row r="27" spans="1:14" ht="15.5" x14ac:dyDescent="0.35">
      <c r="A27" s="134" t="s">
        <v>38</v>
      </c>
      <c r="B27" s="143">
        <f>B18-B26</f>
        <v>0</v>
      </c>
      <c r="C27" s="137">
        <f t="shared" ref="C27:L27" si="3">C18-C26</f>
        <v>0</v>
      </c>
      <c r="D27" s="137">
        <f t="shared" si="3"/>
        <v>0</v>
      </c>
      <c r="E27" s="137">
        <f t="shared" si="3"/>
        <v>0</v>
      </c>
      <c r="F27" s="137">
        <f t="shared" si="3"/>
        <v>0</v>
      </c>
      <c r="G27" s="137">
        <f t="shared" si="3"/>
        <v>0</v>
      </c>
      <c r="H27" s="137">
        <f t="shared" si="3"/>
        <v>0</v>
      </c>
      <c r="I27" s="137">
        <f t="shared" si="3"/>
        <v>0</v>
      </c>
      <c r="J27" s="137">
        <f t="shared" si="3"/>
        <v>0</v>
      </c>
      <c r="K27" s="137">
        <f t="shared" si="3"/>
        <v>0</v>
      </c>
      <c r="L27" s="138">
        <f t="shared" si="3"/>
        <v>0</v>
      </c>
      <c r="M27" s="142">
        <f>SUM(B27:L27)</f>
        <v>0</v>
      </c>
      <c r="N27" s="113"/>
    </row>
    <row r="28" spans="1:14" ht="15.5" x14ac:dyDescent="0.35">
      <c r="A28" s="134" t="s">
        <v>39</v>
      </c>
      <c r="B28" s="143">
        <f>B27/(POWER((1+$H$11),0))</f>
        <v>0</v>
      </c>
      <c r="C28" s="137">
        <f>C27/(POWER((1+$H$11),1))</f>
        <v>0</v>
      </c>
      <c r="D28" s="137">
        <f>D27/(POWER((1+$H$11),2))</f>
        <v>0</v>
      </c>
      <c r="E28" s="137">
        <f>E27/(POWER((1+$H$11),3))</f>
        <v>0</v>
      </c>
      <c r="F28" s="137">
        <f>F27/(POWER((1+$H$11),4))</f>
        <v>0</v>
      </c>
      <c r="G28" s="137">
        <f>G27/(POWER((1+$H$11),5))</f>
        <v>0</v>
      </c>
      <c r="H28" s="137">
        <f>H27/(POWER((1+$H$11),6))</f>
        <v>0</v>
      </c>
      <c r="I28" s="137">
        <f>I27/(POWER((1+$H$11),7))</f>
        <v>0</v>
      </c>
      <c r="J28" s="137">
        <f>J27/(POWER((1+$H$11),8))</f>
        <v>0</v>
      </c>
      <c r="K28" s="137">
        <f>K27/(POWER((1+$H$11),9))</f>
        <v>0</v>
      </c>
      <c r="L28" s="138">
        <f>L27/(POWER((1+$H$11),10))</f>
        <v>0</v>
      </c>
      <c r="M28" s="142">
        <f>SUM(B28:L28)</f>
        <v>0</v>
      </c>
      <c r="N28" s="113"/>
    </row>
    <row r="29" spans="1:14" ht="15.5" x14ac:dyDescent="0.35">
      <c r="A29" s="134" t="s">
        <v>40</v>
      </c>
      <c r="B29" s="144">
        <f>IFERROR(B27/B18,0)</f>
        <v>0</v>
      </c>
      <c r="C29" s="119">
        <f t="shared" ref="C29:L29" si="4">IFERROR(C27/C18,0)</f>
        <v>0</v>
      </c>
      <c r="D29" s="119">
        <f>IFERROR(D27/D18,0)</f>
        <v>0</v>
      </c>
      <c r="E29" s="119">
        <f t="shared" si="4"/>
        <v>0</v>
      </c>
      <c r="F29" s="119">
        <f t="shared" si="4"/>
        <v>0</v>
      </c>
      <c r="G29" s="119">
        <f t="shared" si="4"/>
        <v>0</v>
      </c>
      <c r="H29" s="119">
        <f t="shared" si="4"/>
        <v>0</v>
      </c>
      <c r="I29" s="119">
        <f t="shared" si="4"/>
        <v>0</v>
      </c>
      <c r="J29" s="119">
        <f t="shared" si="4"/>
        <v>0</v>
      </c>
      <c r="K29" s="119">
        <f t="shared" si="4"/>
        <v>0</v>
      </c>
      <c r="L29" s="145">
        <f t="shared" si="4"/>
        <v>0</v>
      </c>
      <c r="M29" s="139"/>
      <c r="N29" s="113"/>
    </row>
    <row r="30" spans="1:14" ht="15.5" hidden="1" outlineLevel="1" x14ac:dyDescent="0.35">
      <c r="A30" s="146" t="s">
        <v>41</v>
      </c>
      <c r="B30" s="147">
        <f>$H$14*SUM('Revenue details'!E196:H196)/1000</f>
        <v>0</v>
      </c>
      <c r="C30" s="148">
        <f>$H$14*SUM('Revenue details'!I196:L196)/1000</f>
        <v>0</v>
      </c>
      <c r="D30" s="148">
        <f>$H$14*SUM('Revenue details'!M196:P196)/1000</f>
        <v>0</v>
      </c>
      <c r="E30" s="148">
        <f>$H$14*SUM('Revenue details'!Q196:T196)/1000</f>
        <v>0</v>
      </c>
      <c r="F30" s="148">
        <f>$H$14*SUM('Revenue details'!U196:X196)/1000</f>
        <v>0</v>
      </c>
      <c r="G30" s="148">
        <f>$H$14*SUM('Revenue details'!Y196:AB196)/1000</f>
        <v>0</v>
      </c>
      <c r="H30" s="148">
        <f>$H$14*SUM('Revenue details'!AC196:AF196)/1000</f>
        <v>0</v>
      </c>
      <c r="I30" s="148">
        <f>$H$14*SUM('Revenue details'!AG196:AJ196)/1000</f>
        <v>0</v>
      </c>
      <c r="J30" s="148">
        <f>$H$14*SUM('Revenue details'!AK196:AN196)/1000</f>
        <v>0</v>
      </c>
      <c r="K30" s="148">
        <f>$H$14*SUM('Revenue details'!AO196:AR196)/1000</f>
        <v>0</v>
      </c>
      <c r="L30" s="149">
        <f>$H$14*SUM('Revenue details'!AS196:AV196)/1000</f>
        <v>0</v>
      </c>
      <c r="M30" s="139"/>
      <c r="N30" s="113"/>
    </row>
    <row r="31" spans="1:14" ht="15.5" hidden="1" outlineLevel="1" x14ac:dyDescent="0.35">
      <c r="A31" s="134" t="s">
        <v>42</v>
      </c>
      <c r="B31" s="147">
        <f>$H$14*SUM('Revenue details'!E197:H197)/1000</f>
        <v>0</v>
      </c>
      <c r="C31" s="148">
        <f>$H$14*SUM('Revenue details'!I197:L197)/1000</f>
        <v>0</v>
      </c>
      <c r="D31" s="148">
        <f>$H$14*SUM('Revenue details'!M197:P197)/1000</f>
        <v>0</v>
      </c>
      <c r="E31" s="148">
        <f>$H$14*SUM('Revenue details'!Q197:T197)/1000</f>
        <v>0</v>
      </c>
      <c r="F31" s="148">
        <f>$H$14*SUM('Revenue details'!U197:X197)/1000</f>
        <v>0</v>
      </c>
      <c r="G31" s="148">
        <f>$H$14*SUM('Revenue details'!Y197:AB197)/1000</f>
        <v>0</v>
      </c>
      <c r="H31" s="148">
        <f>$H$14*SUM('Revenue details'!AC197:AF197)/1000</f>
        <v>0</v>
      </c>
      <c r="I31" s="148">
        <f>$H$14*SUM('Revenue details'!AG197:AJ197)/1000</f>
        <v>0</v>
      </c>
      <c r="J31" s="148">
        <f>$H$14*SUM('Revenue details'!AK197:AN197)/1000</f>
        <v>0</v>
      </c>
      <c r="K31" s="148">
        <f>$H$14*SUM('Revenue details'!AO197:AR197)/1000</f>
        <v>0</v>
      </c>
      <c r="L31" s="149">
        <f>$H$14*SUM('Revenue details'!AS197:AV197)/1000</f>
        <v>0</v>
      </c>
      <c r="M31" s="139"/>
      <c r="N31" s="113"/>
    </row>
    <row r="32" spans="1:14" ht="15.5" hidden="1" outlineLevel="1" x14ac:dyDescent="0.35">
      <c r="A32" s="134" t="s">
        <v>43</v>
      </c>
      <c r="B32" s="147">
        <f>$H$14*SUM('Revenue details'!E198:H198)/1000</f>
        <v>0</v>
      </c>
      <c r="C32" s="148">
        <f>$H$14*SUM('Revenue details'!I198:L198)/1000</f>
        <v>0</v>
      </c>
      <c r="D32" s="148">
        <f>$H$14*SUM('Revenue details'!M198:P198)/1000</f>
        <v>0</v>
      </c>
      <c r="E32" s="148">
        <f>$H$14*SUM('Revenue details'!Q198:T198)/1000</f>
        <v>0</v>
      </c>
      <c r="F32" s="148">
        <f>$H$14*SUM('Revenue details'!U198:X198)/1000</f>
        <v>0</v>
      </c>
      <c r="G32" s="148">
        <f>$H$14*SUM('Revenue details'!Y198:AB198)/1000</f>
        <v>0</v>
      </c>
      <c r="H32" s="148">
        <f>$H$14*SUM('Revenue details'!AC198:AF198)/1000</f>
        <v>0</v>
      </c>
      <c r="I32" s="148">
        <f>$H$14*SUM('Revenue details'!AG198:AJ198)/1000</f>
        <v>0</v>
      </c>
      <c r="J32" s="148">
        <f>$H$14*SUM('Revenue details'!AK198:AN198)/1000</f>
        <v>0</v>
      </c>
      <c r="K32" s="148">
        <f>$H$14*SUM('Revenue details'!AO198:AR198)/1000</f>
        <v>0</v>
      </c>
      <c r="L32" s="149">
        <f>$H$14*SUM('Revenue details'!AS198:AV198)/1000</f>
        <v>0</v>
      </c>
      <c r="M32" s="139"/>
      <c r="N32" s="113"/>
    </row>
    <row r="33" spans="1:14" ht="15.5" hidden="1" outlineLevel="1" x14ac:dyDescent="0.35">
      <c r="A33" s="134" t="s">
        <v>44</v>
      </c>
      <c r="B33" s="147">
        <f>$H$14*SUM('Revenue details'!E199:H199)/1000</f>
        <v>0</v>
      </c>
      <c r="C33" s="148">
        <f>$H$14*SUM('Revenue details'!I199:L199)/1000</f>
        <v>0</v>
      </c>
      <c r="D33" s="148">
        <f>$H$14*SUM('Revenue details'!M199:P199)/1000</f>
        <v>0</v>
      </c>
      <c r="E33" s="148">
        <f>$H$14*SUM('Revenue details'!Q199:T199)/1000</f>
        <v>0</v>
      </c>
      <c r="F33" s="148">
        <f>$H$14*SUM('Revenue details'!U199:X199)/1000</f>
        <v>0</v>
      </c>
      <c r="G33" s="148">
        <f>$H$14*SUM('Revenue details'!Y199:AB199)/1000</f>
        <v>0</v>
      </c>
      <c r="H33" s="148">
        <f>$H$14*SUM('Revenue details'!AC199:AF199)/1000</f>
        <v>0</v>
      </c>
      <c r="I33" s="148">
        <f>$H$14*SUM('Revenue details'!AG199:AJ199)/1000</f>
        <v>0</v>
      </c>
      <c r="J33" s="148">
        <f>$H$14*SUM('Revenue details'!AK199:AN199)/1000</f>
        <v>0</v>
      </c>
      <c r="K33" s="148">
        <f>$H$14*SUM('Revenue details'!AO199:AR199)/1000</f>
        <v>0</v>
      </c>
      <c r="L33" s="149">
        <f>$H$14*SUM('Revenue details'!AS199:AV199)/1000</f>
        <v>0</v>
      </c>
      <c r="M33" s="139"/>
      <c r="N33" s="113"/>
    </row>
    <row r="34" spans="1:14" ht="15.5" collapsed="1" x14ac:dyDescent="0.35">
      <c r="A34" s="134" t="s">
        <v>45</v>
      </c>
      <c r="B34" s="150">
        <f t="shared" ref="B34:L34" si="5">SUM(B30:B33)</f>
        <v>0</v>
      </c>
      <c r="C34" s="148">
        <f t="shared" si="5"/>
        <v>0</v>
      </c>
      <c r="D34" s="148">
        <f t="shared" si="5"/>
        <v>0</v>
      </c>
      <c r="E34" s="148">
        <f t="shared" si="5"/>
        <v>0</v>
      </c>
      <c r="F34" s="148">
        <f t="shared" si="5"/>
        <v>0</v>
      </c>
      <c r="G34" s="148">
        <f t="shared" si="5"/>
        <v>0</v>
      </c>
      <c r="H34" s="148">
        <f t="shared" si="5"/>
        <v>0</v>
      </c>
      <c r="I34" s="148">
        <f t="shared" si="5"/>
        <v>0</v>
      </c>
      <c r="J34" s="148">
        <f t="shared" si="5"/>
        <v>0</v>
      </c>
      <c r="K34" s="148">
        <f t="shared" si="5"/>
        <v>0</v>
      </c>
      <c r="L34" s="151">
        <f t="shared" si="5"/>
        <v>0</v>
      </c>
      <c r="M34" s="152">
        <f>SUM(B34:L34)</f>
        <v>0</v>
      </c>
      <c r="N34" s="113"/>
    </row>
    <row r="35" spans="1:14" ht="16" thickBot="1" x14ac:dyDescent="0.4">
      <c r="A35" s="153" t="s">
        <v>46</v>
      </c>
      <c r="B35" s="154">
        <f>B34/(POWER((1+$H$11),0))</f>
        <v>0</v>
      </c>
      <c r="C35" s="155">
        <f>C34/(POWER((1+$H$11),1))</f>
        <v>0</v>
      </c>
      <c r="D35" s="155">
        <f>D34/(POWER((1+$H$11),2))</f>
        <v>0</v>
      </c>
      <c r="E35" s="155">
        <f>E34/(POWER((1+$H$11),3))</f>
        <v>0</v>
      </c>
      <c r="F35" s="155">
        <f>F34/(POWER((1+$H$11),4))</f>
        <v>0</v>
      </c>
      <c r="G35" s="155">
        <f>G34/(POWER((1+$H$11),5))</f>
        <v>0</v>
      </c>
      <c r="H35" s="155">
        <f>H34/(POWER((1+$H$11),6))</f>
        <v>0</v>
      </c>
      <c r="I35" s="155">
        <f>I34/(POWER((1+$H$11),7))</f>
        <v>0</v>
      </c>
      <c r="J35" s="155">
        <f>J34/(POWER((1+$H$11),8))</f>
        <v>0</v>
      </c>
      <c r="K35" s="155">
        <f>K34/(POWER((1+$H$11),9))</f>
        <v>0</v>
      </c>
      <c r="L35" s="156">
        <f>L34/(POWER((1+$H$11),10))</f>
        <v>0</v>
      </c>
      <c r="M35" s="157">
        <f>SUM(B35:L35)</f>
        <v>0</v>
      </c>
      <c r="N35" s="113"/>
    </row>
    <row r="36" spans="1:14" ht="15" thickBot="1" x14ac:dyDescent="0.4"/>
    <row r="37" spans="1:14" ht="16" thickBot="1" x14ac:dyDescent="0.4">
      <c r="A37" s="158" t="s">
        <v>47</v>
      </c>
      <c r="B37" s="159" t="str">
        <f>IFERROR(M23/(SUM('Revenue details'!E6:AV6)+SUM('Revenue details'!E17:AV17)+SUM('Revenue details'!E28:AV28)+SUM('Revenue details'!E39:AV39)+SUM('Revenue details'!E50:AV50)+SUM('Revenue details'!E61:AV61)+SUM('Revenue details'!E72:AV72)+SUM('Revenue details'!E83:AV83)+SUM('Revenue details'!E94:AV94)+SUM('Revenue details'!E105:AV105)+SUM('Revenue details'!E116:AV116)+SUM('Revenue details'!E127:AV127)+SUM('Revenue details'!E138:AV138)+SUM('Revenue details'!E149:AV149)+SUM('Revenue details'!E160:AV160)),"-")</f>
        <v>-</v>
      </c>
      <c r="C37" s="113"/>
      <c r="D37" s="160"/>
      <c r="E37" s="113"/>
      <c r="F37" s="113"/>
      <c r="G37" s="113"/>
      <c r="H37" s="113"/>
      <c r="I37" s="113"/>
      <c r="J37" s="113"/>
      <c r="K37" s="113"/>
      <c r="L37" s="113"/>
      <c r="M37" s="113"/>
    </row>
    <row r="38" spans="1:14" ht="16" hidden="1" outlineLevel="1" thickBot="1" x14ac:dyDescent="0.4">
      <c r="A38" s="128" t="s">
        <v>48</v>
      </c>
      <c r="B38" s="124">
        <f t="shared" ref="B38:L38" si="6">B17</f>
        <v>2022</v>
      </c>
      <c r="C38" s="125">
        <f t="shared" si="6"/>
        <v>2023</v>
      </c>
      <c r="D38" s="125">
        <f t="shared" si="6"/>
        <v>2024</v>
      </c>
      <c r="E38" s="125">
        <f t="shared" si="6"/>
        <v>2025</v>
      </c>
      <c r="F38" s="125">
        <f t="shared" si="6"/>
        <v>2026</v>
      </c>
      <c r="G38" s="125">
        <f t="shared" si="6"/>
        <v>2027</v>
      </c>
      <c r="H38" s="125">
        <f t="shared" si="6"/>
        <v>2028</v>
      </c>
      <c r="I38" s="125">
        <f t="shared" si="6"/>
        <v>2029</v>
      </c>
      <c r="J38" s="125">
        <f t="shared" si="6"/>
        <v>2030</v>
      </c>
      <c r="K38" s="126">
        <f t="shared" si="6"/>
        <v>2031</v>
      </c>
      <c r="L38" s="161">
        <f t="shared" si="6"/>
        <v>2032</v>
      </c>
      <c r="M38" s="113"/>
    </row>
    <row r="39" spans="1:14" ht="15.5" hidden="1" outlineLevel="1" x14ac:dyDescent="0.35">
      <c r="A39" s="162" t="s">
        <v>49</v>
      </c>
      <c r="B39" s="163">
        <f>B28-B35</f>
        <v>0</v>
      </c>
      <c r="C39" s="164">
        <f>B39+C28-C35</f>
        <v>0</v>
      </c>
      <c r="D39" s="164">
        <f t="shared" ref="D39:I39" si="7">C39+D28-D35</f>
        <v>0</v>
      </c>
      <c r="E39" s="164">
        <f t="shared" si="7"/>
        <v>0</v>
      </c>
      <c r="F39" s="164">
        <f t="shared" si="7"/>
        <v>0</v>
      </c>
      <c r="G39" s="164">
        <f t="shared" si="7"/>
        <v>0</v>
      </c>
      <c r="H39" s="164">
        <f t="shared" si="7"/>
        <v>0</v>
      </c>
      <c r="I39" s="164">
        <f t="shared" si="7"/>
        <v>0</v>
      </c>
      <c r="J39" s="164">
        <f>I39+J28-J35</f>
        <v>0</v>
      </c>
      <c r="K39" s="164">
        <f>J39+K28-K35</f>
        <v>0</v>
      </c>
      <c r="L39" s="165">
        <f>K39+L28-L35</f>
        <v>0</v>
      </c>
      <c r="M39" s="113"/>
    </row>
    <row r="40" spans="1:14" ht="15.5" hidden="1" outlineLevel="1" x14ac:dyDescent="0.35">
      <c r="A40" s="166" t="s">
        <v>50</v>
      </c>
      <c r="B40" s="167">
        <f>SUM(B18)</f>
        <v>0</v>
      </c>
      <c r="C40" s="168">
        <f>SUM(B18:C18)</f>
        <v>0</v>
      </c>
      <c r="D40" s="168">
        <f>SUM($B$18:D18)</f>
        <v>0</v>
      </c>
      <c r="E40" s="168">
        <f>SUM($B$18:E18)</f>
        <v>0</v>
      </c>
      <c r="F40" s="168">
        <f>SUM($B$18:F18)</f>
        <v>0</v>
      </c>
      <c r="G40" s="168">
        <f>SUM($B$18:G18)</f>
        <v>0</v>
      </c>
      <c r="H40" s="168">
        <f>SUM($B$18:H18)</f>
        <v>0</v>
      </c>
      <c r="I40" s="168">
        <f>SUM($B$18:I18)</f>
        <v>0</v>
      </c>
      <c r="J40" s="168">
        <f>SUM($B$18:J18)</f>
        <v>0</v>
      </c>
      <c r="K40" s="168">
        <f>SUM($B$18:K18)</f>
        <v>0</v>
      </c>
      <c r="L40" s="169">
        <f>SUM($B$18:L18)</f>
        <v>0</v>
      </c>
      <c r="M40" s="113"/>
    </row>
    <row r="41" spans="1:14" ht="16" hidden="1" outlineLevel="1" thickBot="1" x14ac:dyDescent="0.4">
      <c r="A41" s="170" t="s">
        <v>51</v>
      </c>
      <c r="B41" s="171">
        <f>IFERROR(IF(B28&lt;B35,0,B35/B28),0)</f>
        <v>0</v>
      </c>
      <c r="C41" s="172">
        <f>IFERROR(IF((B28+C28)&lt;(B35+C35),0,(IF(B28&gt;B35,0,1+(B35+C35)/(B28+C28)))),0)</f>
        <v>0</v>
      </c>
      <c r="D41" s="172">
        <f>IFERROR(IF((B28+C28+D28)&lt;(B35+C35+D35),0,(IF((B28+C28)&gt;(B35+C35),0,2+(B35+C35+D35)/(B28+C28+D28)))),0)</f>
        <v>0</v>
      </c>
      <c r="E41" s="172">
        <f>IFERROR(IF((B28+C28+D28+E28)&lt;(B35+C35+D35+E35),0,(IF((B28+C28+D28)&gt;(B35+C35+D35),0,3+(B35+C35+D35+E35)/(B28+C28+D28+E28)))),0)</f>
        <v>0</v>
      </c>
      <c r="F41" s="172">
        <f>IFERROR(IF((B28+C28+D28+E28+F28)&lt;(B35+C35+D35+E35+F35),0,(IF((B28+C28+D28+E28)&gt;(B35+C35+D35+E35),0,4+(B35+C35+D35+E35+F35)/(B28+C28+D28+E28+F28)))),0)</f>
        <v>0</v>
      </c>
      <c r="G41" s="172">
        <f>IFERROR(IF((B28+C28+D28+E28+F28+G28)&lt;(B35+C35+D35+E35+F35+G35),0,(IF((B28+C28+D28+E28+F28)&gt;(B35+C35+D35+E35+F35),0,5+(B35+C35+D35+E35+F35+G35)/(B28+C28+D28+E28+F28+G28)))),0)</f>
        <v>0</v>
      </c>
      <c r="H41" s="172">
        <f>IFERROR(IF((B28+C28+D28+E28+F28+G28+H28)&lt;(B35+C35+D35+E35+F35+G35+H35),0,(IF((B28+C28+D28+E28+F28+G28)&gt;(B35+C35+D35+E35+F35+G35),0,6+(B35+C35+D35+E35+F35+G35+H35)/(B28+C28+D28+E28+F28+G28+H28)))),0)</f>
        <v>0</v>
      </c>
      <c r="I41" s="172">
        <f>IFERROR(IF((B28+C28+D28+E28+F28+G28+H28+I28)&lt;(B35+C35+D35+E35+F35+G35+H35+I35),0,(IF((B28+C28+D28+E28+F28+G28+H28)&gt;(B35+C35+D35+E35+F35+G35+H35),0,7+(B35+C35+D35+E35+F35+G35+H35+I35)/(B28+C28+D28+E28+F28+G28+H28+I28)))),0)</f>
        <v>0</v>
      </c>
      <c r="J41" s="172">
        <f>IFERROR(IF((B28+C28+D28+E28+F28+G28+H28+I28+J28)&lt;(B35+C35+D35+E35+F35+G35+H35+I35+J35),0,(IF((B28+C28+D28+E28+F28+G28+H28+I28)&gt;(B35+C35+D35+E35+F35+G35+H35+I35),0,8+(B35+C35+D35+E35+F35+G35+H35+I35+J35)/(B28+C28+D28+E28+F28+G28+H28+I28+J28)))),0)</f>
        <v>0</v>
      </c>
      <c r="K41" s="172">
        <f>IFERROR(IF((B28+C28+D28+E28+F28+G28+H28+I28+J28+K28)&lt;(B35+C35+D35+E35+F35+G35+H35+I35+J35+K35),0,(IF((B28+C28+D28+E28+F28+G28+H28+I28+J28)&gt;(B35+C35+D35+E35+F35+G35+H35+I35+J35),0,9+(B35+C35+D35+E35+F35+G35+H35+I35+J35+K35)/(B28+C28+D28+E28+F28+G28+H28+I28+J28+K28)))),0)</f>
        <v>0</v>
      </c>
      <c r="L41" s="173">
        <f>IFERROR(IF((B28+C28+D28+E28+F28+G28+H28+I28+J28+K28+L28)&lt;(B35+C35+D35+E35+F35+G35+H35+I35+J35+K35+L35),0,(IF((B28+C28+D28+E28+F28+G28+H28+I28+J28+K28)&gt;(B35+C35+D35+E35+F35+G35+H35+I35+J35+K35),0,10+(B35+C35+D35+E35+F35+G35+H35+I35+J35+K35+L35)/(B28+C28+D28+E28+F28+G28+H28+I28+J28+K28+L28)))),0)</f>
        <v>0</v>
      </c>
      <c r="M41" s="113"/>
    </row>
    <row r="42" spans="1:14" ht="15.5" collapsed="1" x14ac:dyDescent="0.35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</row>
    <row r="43" spans="1:14" ht="16" thickBot="1" x14ac:dyDescent="0.4">
      <c r="A43" s="174"/>
      <c r="B43" s="174"/>
      <c r="C43" s="175" t="s">
        <v>52</v>
      </c>
      <c r="D43" s="176"/>
      <c r="E43" s="175" t="s">
        <v>53</v>
      </c>
      <c r="F43" s="113"/>
      <c r="G43" s="113"/>
      <c r="H43" s="113"/>
      <c r="I43" s="113"/>
      <c r="J43" s="113"/>
      <c r="K43" s="113"/>
      <c r="L43" s="113"/>
      <c r="M43" s="113"/>
    </row>
    <row r="44" spans="1:14" ht="15.5" x14ac:dyDescent="0.35">
      <c r="A44" s="177" t="s">
        <v>54</v>
      </c>
      <c r="B44" s="178">
        <v>230</v>
      </c>
      <c r="C44" s="179" t="s">
        <v>55</v>
      </c>
      <c r="D44" s="202" t="s">
        <v>56</v>
      </c>
      <c r="E44" s="207">
        <f>'BC Summary US$ (EV)'!B44</f>
        <v>0</v>
      </c>
      <c r="F44" s="113"/>
      <c r="G44" s="113"/>
      <c r="H44" s="113"/>
      <c r="I44" s="113"/>
      <c r="J44" s="113"/>
      <c r="K44" s="113"/>
      <c r="L44" s="113"/>
      <c r="M44" s="113"/>
    </row>
    <row r="45" spans="1:14" ht="15.5" x14ac:dyDescent="0.35">
      <c r="A45" s="181" t="s">
        <v>40</v>
      </c>
      <c r="B45" s="182">
        <v>0.7</v>
      </c>
      <c r="C45" s="183" t="s">
        <v>55</v>
      </c>
      <c r="D45" s="203">
        <f>IF(OR(B8="Networking",B8="Protocols"),65%,IF(H15="Standard",45%,38%))</f>
        <v>0.45</v>
      </c>
      <c r="E45" s="208" t="str">
        <f>'BC Summary US$ (EV)'!B45</f>
        <v>-</v>
      </c>
      <c r="F45" s="113"/>
      <c r="G45" s="113"/>
      <c r="H45" s="113"/>
      <c r="I45" s="113"/>
      <c r="J45" s="113"/>
      <c r="K45" s="113"/>
      <c r="L45" s="113"/>
      <c r="M45" s="113"/>
    </row>
    <row r="46" spans="1:14" ht="15.5" x14ac:dyDescent="0.35">
      <c r="A46" s="181" t="s">
        <v>57</v>
      </c>
      <c r="B46" s="185">
        <v>5</v>
      </c>
      <c r="C46" s="186" t="s">
        <v>55</v>
      </c>
      <c r="D46" s="204">
        <v>10</v>
      </c>
      <c r="E46" s="209" t="str">
        <f>'BC Summary US$ (EV)'!B46</f>
        <v>-</v>
      </c>
      <c r="F46" s="113"/>
      <c r="G46" s="113"/>
      <c r="H46" s="113"/>
      <c r="I46" s="113"/>
      <c r="J46" s="113"/>
      <c r="K46" s="113"/>
      <c r="L46" s="113"/>
      <c r="M46" s="113"/>
    </row>
    <row r="47" spans="1:14" ht="15.5" x14ac:dyDescent="0.35">
      <c r="A47" s="181" t="s">
        <v>58</v>
      </c>
      <c r="B47" s="185">
        <f>IFERROR(SUM(B41:L41),"-")</f>
        <v>0</v>
      </c>
      <c r="C47" s="188" t="s">
        <v>59</v>
      </c>
      <c r="D47" s="205">
        <v>3</v>
      </c>
      <c r="E47" s="209">
        <f>'BC Summary US$ (EV)'!B47</f>
        <v>0</v>
      </c>
      <c r="F47" s="113"/>
      <c r="G47" s="113"/>
      <c r="H47" s="113"/>
      <c r="I47" s="113"/>
      <c r="J47" s="113"/>
      <c r="K47" s="113"/>
      <c r="L47" s="113"/>
      <c r="M47" s="113"/>
    </row>
    <row r="48" spans="1:14" ht="16" thickBot="1" x14ac:dyDescent="0.4">
      <c r="A48" s="190" t="s">
        <v>60</v>
      </c>
      <c r="B48" s="191" t="str">
        <f>IFERROR(IRR(B39:L39),"-")</f>
        <v>-</v>
      </c>
      <c r="C48" s="192"/>
      <c r="D48" s="206"/>
      <c r="E48" s="210" t="str">
        <f>'BC Summary US$ (EV)'!B48</f>
        <v>-</v>
      </c>
      <c r="F48" s="113"/>
      <c r="G48" s="113"/>
      <c r="H48" s="113"/>
      <c r="I48" s="113"/>
      <c r="J48" s="113"/>
      <c r="K48" s="113"/>
      <c r="L48" s="113"/>
      <c r="M48" s="113"/>
    </row>
    <row r="49" spans="1:13" ht="15.5" x14ac:dyDescent="0.35">
      <c r="A49" s="174"/>
      <c r="B49" s="174"/>
      <c r="C49" s="174"/>
      <c r="D49" s="174"/>
      <c r="E49" s="174"/>
      <c r="F49" s="113"/>
      <c r="G49" s="113"/>
      <c r="H49" s="113"/>
      <c r="I49" s="113"/>
      <c r="J49" s="113"/>
      <c r="K49" s="113"/>
      <c r="L49" s="113"/>
      <c r="M49" s="113"/>
    </row>
    <row r="50" spans="1:13" ht="15.5" x14ac:dyDescent="0.3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</row>
    <row r="51" spans="1:13" ht="15.5" x14ac:dyDescent="0.3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1:13" ht="16" thickBot="1" x14ac:dyDescent="0.4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</row>
    <row r="53" spans="1:13" ht="15.5" x14ac:dyDescent="0.35">
      <c r="A53" s="194" t="s">
        <v>61</v>
      </c>
      <c r="B53" s="246" t="s">
        <v>62</v>
      </c>
      <c r="C53" s="246"/>
      <c r="D53" s="246"/>
      <c r="E53" s="195" t="s">
        <v>63</v>
      </c>
      <c r="F53" s="113"/>
      <c r="G53" s="113"/>
      <c r="H53" s="113"/>
      <c r="I53" s="113"/>
      <c r="J53" s="113"/>
      <c r="K53" s="113"/>
      <c r="L53" s="113"/>
      <c r="M53" s="113"/>
    </row>
    <row r="54" spans="1:13" ht="15.5" x14ac:dyDescent="0.35">
      <c r="A54" s="217"/>
      <c r="B54" s="235"/>
      <c r="C54" s="235"/>
      <c r="D54" s="235"/>
      <c r="E54" s="197"/>
      <c r="F54" s="113"/>
      <c r="G54" s="113"/>
      <c r="H54" s="113"/>
      <c r="I54" s="113"/>
      <c r="J54" s="113"/>
      <c r="K54" s="113"/>
      <c r="L54" s="113"/>
      <c r="M54" s="113"/>
    </row>
    <row r="55" spans="1:13" ht="15.5" x14ac:dyDescent="0.35">
      <c r="A55" s="198"/>
      <c r="B55" s="235"/>
      <c r="C55" s="235"/>
      <c r="D55" s="235"/>
      <c r="E55" s="199"/>
      <c r="F55" s="113"/>
      <c r="G55" s="113"/>
      <c r="H55" s="113"/>
      <c r="I55" s="113"/>
      <c r="J55" s="113"/>
      <c r="K55" s="113"/>
      <c r="L55" s="113"/>
      <c r="M55" s="113"/>
    </row>
    <row r="56" spans="1:13" ht="15.5" x14ac:dyDescent="0.35">
      <c r="A56" s="196"/>
      <c r="B56" s="235"/>
      <c r="C56" s="235"/>
      <c r="D56" s="235"/>
      <c r="E56" s="197"/>
      <c r="F56" s="113"/>
      <c r="G56" s="113"/>
      <c r="H56" s="113"/>
      <c r="I56" s="113"/>
      <c r="J56" s="113"/>
      <c r="K56" s="113"/>
      <c r="L56" s="113"/>
      <c r="M56" s="113"/>
    </row>
    <row r="57" spans="1:13" ht="15.5" x14ac:dyDescent="0.35">
      <c r="A57" s="198"/>
      <c r="B57" s="235"/>
      <c r="C57" s="235"/>
      <c r="D57" s="235"/>
      <c r="E57" s="199"/>
      <c r="F57" s="113"/>
      <c r="G57" s="113"/>
      <c r="H57" s="113"/>
      <c r="I57" s="113"/>
      <c r="J57" s="113"/>
      <c r="K57" s="113"/>
      <c r="L57" s="113"/>
      <c r="M57" s="113"/>
    </row>
    <row r="58" spans="1:13" ht="16" thickBot="1" x14ac:dyDescent="0.4">
      <c r="A58" s="200"/>
      <c r="B58" s="236"/>
      <c r="C58" s="236"/>
      <c r="D58" s="236"/>
      <c r="E58" s="201"/>
      <c r="F58" s="113"/>
      <c r="G58" s="113"/>
      <c r="H58" s="113"/>
      <c r="I58" s="113"/>
      <c r="J58" s="113"/>
      <c r="K58" s="113"/>
      <c r="L58" s="113"/>
      <c r="M58" s="113"/>
    </row>
  </sheetData>
  <protectedRanges>
    <protectedRange sqref="B9:C9" name="Bereich10"/>
    <protectedRange sqref="E2" name="Bereich1"/>
    <protectedRange sqref="I3" name="Bereich2"/>
    <protectedRange sqref="B8" name="Bereich3"/>
    <protectedRange sqref="B11:B15" name="Bereich4"/>
    <protectedRange sqref="E11:E13" name="Bereich5"/>
    <protectedRange sqref="E15" name="Bereich6"/>
    <protectedRange sqref="H15" name="Bereich7"/>
    <protectedRange sqref="K12:K14" name="Bereich8"/>
    <protectedRange sqref="A54:E58" name="Bereich9"/>
  </protectedRanges>
  <dataConsolidate/>
  <mergeCells count="13">
    <mergeCell ref="I2:M2"/>
    <mergeCell ref="I3:M7"/>
    <mergeCell ref="B57:D57"/>
    <mergeCell ref="B58:D58"/>
    <mergeCell ref="A6:B6"/>
    <mergeCell ref="E2:G3"/>
    <mergeCell ref="E6:G7"/>
    <mergeCell ref="B53:D53"/>
    <mergeCell ref="B54:D54"/>
    <mergeCell ref="B55:D55"/>
    <mergeCell ref="B56:D56"/>
    <mergeCell ref="B9:C9"/>
    <mergeCell ref="B8:C8"/>
  </mergeCells>
  <dataValidations count="3">
    <dataValidation type="list" allowBlank="1" showInputMessage="1" showErrorMessage="1" sqref="H15" xr:uid="{00000000-0002-0000-0000-000000000000}">
      <formula1>"Standard,OEM"</formula1>
    </dataValidation>
    <dataValidation type="list" allowBlank="1" showInputMessage="1" showErrorMessage="1" sqref="B8" xr:uid="{C49E79BE-0409-4FCB-96A0-9C00A71CD37A}">
      <formula1>"Networking, Connectivity, Protocols"</formula1>
    </dataValidation>
    <dataValidation type="list" allowBlank="1" showInputMessage="1" showErrorMessage="1" sqref="B9:C9" xr:uid="{61C01ED9-18D6-4688-9F9E-081D1E14ABC3}">
      <formula1>"Managed Switching Products, Field Switches, IOs &amp; Accessories, Connectivity, Software Products &amp; Services, Cyber, Edge (Incubator), Protocols &amp; Wireless"</formula1>
    </dataValidation>
  </dataValidations>
  <pageMargins left="0.7" right="0.7" top="0.75" bottom="0.75" header="0.3" footer="0.3"/>
  <pageSetup paperSize="9" scale="53" orientation="landscape" r:id="rId1"/>
  <ignoredErrors>
    <ignoredError sqref="C32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tabColor rgb="FFFFFF00"/>
  </sheetPr>
  <dimension ref="B3:P75"/>
  <sheetViews>
    <sheetView showGridLines="0" zoomScale="80" zoomScaleNormal="80" workbookViewId="0">
      <selection activeCell="P22" sqref="P22"/>
    </sheetView>
  </sheetViews>
  <sheetFormatPr defaultColWidth="10.81640625" defaultRowHeight="14.5" x14ac:dyDescent="0.35"/>
  <cols>
    <col min="13" max="13" width="10.81640625" customWidth="1"/>
    <col min="14" max="14" width="41.7265625" customWidth="1"/>
    <col min="15" max="15" width="30" bestFit="1" customWidth="1"/>
    <col min="16" max="16" width="76.81640625" customWidth="1"/>
  </cols>
  <sheetData>
    <row r="3" spans="2:16" x14ac:dyDescent="0.35">
      <c r="B3" s="12"/>
    </row>
    <row r="4" spans="2:16" x14ac:dyDescent="0.35">
      <c r="D4" s="10"/>
    </row>
    <row r="5" spans="2:16" ht="18.5" x14ac:dyDescent="0.45">
      <c r="D5" s="10"/>
      <c r="E5" s="11"/>
      <c r="O5" s="13" t="s">
        <v>64</v>
      </c>
    </row>
    <row r="6" spans="2:16" x14ac:dyDescent="0.35">
      <c r="D6" s="268">
        <v>1</v>
      </c>
      <c r="E6" s="269"/>
      <c r="F6" s="265">
        <v>0.8</v>
      </c>
      <c r="G6" s="266"/>
      <c r="H6" s="265">
        <v>0.6</v>
      </c>
      <c r="I6" s="266"/>
      <c r="O6" s="253" t="s">
        <v>65</v>
      </c>
      <c r="P6" s="251" t="s">
        <v>66</v>
      </c>
    </row>
    <row r="7" spans="2:16" x14ac:dyDescent="0.35">
      <c r="D7" s="270"/>
      <c r="E7" s="269"/>
      <c r="F7" s="266"/>
      <c r="G7" s="266"/>
      <c r="H7" s="266"/>
      <c r="I7" s="266"/>
      <c r="O7" s="253"/>
      <c r="P7" s="255"/>
    </row>
    <row r="8" spans="2:16" x14ac:dyDescent="0.35">
      <c r="D8" s="270"/>
      <c r="E8" s="269"/>
      <c r="F8" s="266"/>
      <c r="G8" s="266"/>
      <c r="H8" s="266"/>
      <c r="I8" s="266"/>
      <c r="O8" s="253"/>
      <c r="P8" s="255"/>
    </row>
    <row r="9" spans="2:16" x14ac:dyDescent="0.35">
      <c r="D9" s="270"/>
      <c r="E9" s="269"/>
      <c r="F9" s="266"/>
      <c r="G9" s="266"/>
      <c r="H9" s="266"/>
      <c r="I9" s="266"/>
      <c r="O9" s="253"/>
      <c r="P9" s="255"/>
    </row>
    <row r="10" spans="2:16" x14ac:dyDescent="0.35">
      <c r="D10" s="270"/>
      <c r="E10" s="269"/>
      <c r="F10" s="266"/>
      <c r="G10" s="266"/>
      <c r="H10" s="266"/>
      <c r="I10" s="266"/>
      <c r="O10" s="253" t="s">
        <v>67</v>
      </c>
      <c r="P10" s="251" t="s">
        <v>68</v>
      </c>
    </row>
    <row r="11" spans="2:16" x14ac:dyDescent="0.35">
      <c r="D11" s="270"/>
      <c r="E11" s="269"/>
      <c r="F11" s="266"/>
      <c r="G11" s="266"/>
      <c r="H11" s="266"/>
      <c r="I11" s="266"/>
      <c r="O11" s="253"/>
      <c r="P11" s="252"/>
    </row>
    <row r="12" spans="2:16" x14ac:dyDescent="0.35">
      <c r="D12" s="270"/>
      <c r="E12" s="269"/>
      <c r="F12" s="266"/>
      <c r="G12" s="266"/>
      <c r="H12" s="266"/>
      <c r="I12" s="266"/>
      <c r="O12" s="253"/>
      <c r="P12" s="252"/>
    </row>
    <row r="13" spans="2:16" x14ac:dyDescent="0.35">
      <c r="D13" s="270"/>
      <c r="E13" s="269"/>
      <c r="F13" s="266"/>
      <c r="G13" s="266"/>
      <c r="H13" s="266"/>
      <c r="I13" s="266"/>
      <c r="O13" s="253"/>
      <c r="P13" s="252"/>
    </row>
    <row r="14" spans="2:16" x14ac:dyDescent="0.35">
      <c r="D14" s="268">
        <v>0.8</v>
      </c>
      <c r="E14" s="269"/>
      <c r="F14" s="273">
        <v>0.6</v>
      </c>
      <c r="G14" s="274"/>
      <c r="H14" s="265">
        <v>0.4</v>
      </c>
      <c r="I14" s="266"/>
      <c r="O14" s="253" t="s">
        <v>69</v>
      </c>
      <c r="P14" s="251" t="s">
        <v>70</v>
      </c>
    </row>
    <row r="15" spans="2:16" x14ac:dyDescent="0.35">
      <c r="D15" s="270"/>
      <c r="E15" s="269"/>
      <c r="F15" s="274"/>
      <c r="G15" s="274"/>
      <c r="H15" s="266"/>
      <c r="I15" s="266"/>
      <c r="O15" s="253"/>
      <c r="P15" s="252"/>
    </row>
    <row r="16" spans="2:16" x14ac:dyDescent="0.35">
      <c r="D16" s="270"/>
      <c r="E16" s="269"/>
      <c r="F16" s="274"/>
      <c r="G16" s="274"/>
      <c r="H16" s="266"/>
      <c r="I16" s="266"/>
      <c r="O16" s="253"/>
      <c r="P16" s="252"/>
    </row>
    <row r="17" spans="4:16" x14ac:dyDescent="0.35">
      <c r="D17" s="270"/>
      <c r="E17" s="269"/>
      <c r="F17" s="274"/>
      <c r="G17" s="274"/>
      <c r="H17" s="266"/>
      <c r="I17" s="266"/>
      <c r="O17" s="253"/>
      <c r="P17" s="252"/>
    </row>
    <row r="18" spans="4:16" x14ac:dyDescent="0.35">
      <c r="D18" s="270"/>
      <c r="E18" s="269"/>
      <c r="F18" s="274"/>
      <c r="G18" s="274"/>
      <c r="H18" s="266"/>
      <c r="I18" s="266"/>
      <c r="O18" s="252"/>
      <c r="P18" s="252"/>
    </row>
    <row r="19" spans="4:16" x14ac:dyDescent="0.35">
      <c r="D19" s="270"/>
      <c r="E19" s="269"/>
      <c r="F19" s="274"/>
      <c r="G19" s="274"/>
      <c r="H19" s="266"/>
      <c r="I19" s="266"/>
    </row>
    <row r="20" spans="4:16" x14ac:dyDescent="0.35">
      <c r="D20" s="270"/>
      <c r="E20" s="269"/>
      <c r="F20" s="274"/>
      <c r="G20" s="274"/>
      <c r="H20" s="266"/>
      <c r="I20" s="266"/>
    </row>
    <row r="21" spans="4:16" x14ac:dyDescent="0.35">
      <c r="D21" s="270"/>
      <c r="E21" s="269"/>
      <c r="F21" s="274"/>
      <c r="G21" s="274"/>
      <c r="H21" s="266"/>
      <c r="I21" s="266"/>
    </row>
    <row r="22" spans="4:16" x14ac:dyDescent="0.35">
      <c r="D22" s="268">
        <v>0.6</v>
      </c>
      <c r="E22" s="269"/>
      <c r="F22" s="265">
        <v>0.4</v>
      </c>
      <c r="G22" s="266"/>
      <c r="H22" s="265">
        <v>0.2</v>
      </c>
      <c r="I22" s="266"/>
      <c r="O22" s="2" t="s">
        <v>71</v>
      </c>
      <c r="P22" s="14">
        <v>0.6</v>
      </c>
    </row>
    <row r="23" spans="4:16" x14ac:dyDescent="0.35">
      <c r="D23" s="270"/>
      <c r="E23" s="269"/>
      <c r="F23" s="266"/>
      <c r="G23" s="266"/>
      <c r="H23" s="266"/>
      <c r="I23" s="266"/>
    </row>
    <row r="24" spans="4:16" x14ac:dyDescent="0.35">
      <c r="D24" s="270"/>
      <c r="E24" s="269"/>
      <c r="F24" s="266"/>
      <c r="G24" s="266"/>
      <c r="H24" s="266"/>
      <c r="I24" s="266"/>
    </row>
    <row r="25" spans="4:16" x14ac:dyDescent="0.35">
      <c r="D25" s="270"/>
      <c r="E25" s="269"/>
      <c r="F25" s="266"/>
      <c r="G25" s="266"/>
      <c r="H25" s="266"/>
      <c r="I25" s="266"/>
    </row>
    <row r="26" spans="4:16" x14ac:dyDescent="0.35">
      <c r="D26" s="270"/>
      <c r="E26" s="269"/>
      <c r="F26" s="266"/>
      <c r="G26" s="266"/>
      <c r="H26" s="266"/>
      <c r="I26" s="266"/>
    </row>
    <row r="27" spans="4:16" x14ac:dyDescent="0.35">
      <c r="D27" s="270"/>
      <c r="E27" s="269"/>
      <c r="F27" s="266"/>
      <c r="G27" s="266"/>
      <c r="H27" s="266"/>
      <c r="I27" s="266"/>
    </row>
    <row r="28" spans="4:16" x14ac:dyDescent="0.35">
      <c r="D28" s="270"/>
      <c r="E28" s="269"/>
      <c r="F28" s="266"/>
      <c r="G28" s="266"/>
      <c r="H28" s="266"/>
      <c r="I28" s="266"/>
    </row>
    <row r="29" spans="4:16" ht="19" thickBot="1" x14ac:dyDescent="0.5">
      <c r="D29" s="271"/>
      <c r="E29" s="272"/>
      <c r="F29" s="267"/>
      <c r="G29" s="267"/>
      <c r="H29" s="267"/>
      <c r="I29" s="267"/>
      <c r="J29" s="9"/>
      <c r="O29" s="13" t="s">
        <v>64</v>
      </c>
    </row>
    <row r="30" spans="4:16" x14ac:dyDescent="0.35">
      <c r="O30" s="254" t="s">
        <v>72</v>
      </c>
      <c r="P30" s="251" t="s">
        <v>73</v>
      </c>
    </row>
    <row r="31" spans="4:16" x14ac:dyDescent="0.35">
      <c r="K31" s="1"/>
      <c r="O31" s="253"/>
      <c r="P31" s="255"/>
    </row>
    <row r="32" spans="4:16" x14ac:dyDescent="0.35">
      <c r="O32" s="253"/>
      <c r="P32" s="255"/>
    </row>
    <row r="33" spans="2:16" x14ac:dyDescent="0.35">
      <c r="O33" s="253"/>
      <c r="P33" s="255"/>
    </row>
    <row r="34" spans="2:16" x14ac:dyDescent="0.35">
      <c r="O34" s="254" t="s">
        <v>74</v>
      </c>
      <c r="P34" s="251" t="s">
        <v>75</v>
      </c>
    </row>
    <row r="35" spans="2:16" x14ac:dyDescent="0.35">
      <c r="O35" s="253"/>
      <c r="P35" s="252"/>
    </row>
    <row r="36" spans="2:16" x14ac:dyDescent="0.35">
      <c r="O36" s="253"/>
      <c r="P36" s="252"/>
    </row>
    <row r="37" spans="2:16" x14ac:dyDescent="0.35">
      <c r="O37" s="253"/>
      <c r="P37" s="252"/>
    </row>
    <row r="38" spans="2:16" ht="18.5" x14ac:dyDescent="0.45">
      <c r="B38" s="264"/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O38" s="254" t="s">
        <v>76</v>
      </c>
      <c r="P38" s="251" t="s">
        <v>77</v>
      </c>
    </row>
    <row r="39" spans="2:16" x14ac:dyDescent="0.35">
      <c r="O39" s="253"/>
      <c r="P39" s="252"/>
    </row>
    <row r="40" spans="2:16" x14ac:dyDescent="0.35">
      <c r="O40" s="253"/>
      <c r="P40" s="252"/>
    </row>
    <row r="41" spans="2:16" x14ac:dyDescent="0.35">
      <c r="O41" s="253"/>
      <c r="P41" s="252"/>
    </row>
    <row r="43" spans="2:16" ht="18.5" x14ac:dyDescent="0.45">
      <c r="O43" s="13"/>
    </row>
    <row r="44" spans="2:16" x14ac:dyDescent="0.35">
      <c r="O44" s="258"/>
      <c r="P44" s="259"/>
    </row>
    <row r="45" spans="2:16" x14ac:dyDescent="0.35">
      <c r="C45" s="45"/>
      <c r="D45" s="256"/>
      <c r="E45" s="257"/>
      <c r="F45" s="256"/>
      <c r="G45" s="257"/>
      <c r="H45" s="256"/>
      <c r="I45" s="257"/>
      <c r="O45" s="258"/>
      <c r="P45" s="260"/>
    </row>
    <row r="46" spans="2:16" x14ac:dyDescent="0.35">
      <c r="D46" s="257"/>
      <c r="E46" s="257"/>
      <c r="F46" s="257"/>
      <c r="G46" s="257"/>
      <c r="H46" s="257"/>
      <c r="I46" s="257"/>
      <c r="O46" s="258"/>
      <c r="P46" s="260"/>
    </row>
    <row r="47" spans="2:16" ht="15" customHeight="1" x14ac:dyDescent="0.35">
      <c r="D47" s="257"/>
      <c r="E47" s="257"/>
      <c r="F47" s="257"/>
      <c r="G47" s="257"/>
      <c r="H47" s="257"/>
      <c r="I47" s="257"/>
      <c r="O47" s="258"/>
      <c r="P47" s="260"/>
    </row>
    <row r="48" spans="2:16" x14ac:dyDescent="0.35">
      <c r="D48" s="257"/>
      <c r="E48" s="257"/>
      <c r="F48" s="257"/>
      <c r="G48" s="257"/>
      <c r="H48" s="257"/>
      <c r="I48" s="257"/>
      <c r="O48" s="258"/>
      <c r="P48" s="259"/>
    </row>
    <row r="49" spans="4:16" x14ac:dyDescent="0.35">
      <c r="D49" s="257"/>
      <c r="E49" s="257"/>
      <c r="F49" s="257"/>
      <c r="G49" s="257"/>
      <c r="H49" s="257"/>
      <c r="I49" s="257"/>
      <c r="O49" s="258"/>
      <c r="P49" s="261"/>
    </row>
    <row r="50" spans="4:16" x14ac:dyDescent="0.35">
      <c r="D50" s="257"/>
      <c r="E50" s="257"/>
      <c r="F50" s="257"/>
      <c r="G50" s="257"/>
      <c r="H50" s="257"/>
      <c r="I50" s="257"/>
      <c r="O50" s="258"/>
      <c r="P50" s="261"/>
    </row>
    <row r="51" spans="4:16" ht="15" customHeight="1" x14ac:dyDescent="0.35">
      <c r="D51" s="257"/>
      <c r="E51" s="257"/>
      <c r="F51" s="257"/>
      <c r="G51" s="257"/>
      <c r="H51" s="257"/>
      <c r="I51" s="257"/>
      <c r="O51" s="258"/>
      <c r="P51" s="261"/>
    </row>
    <row r="52" spans="4:16" x14ac:dyDescent="0.35">
      <c r="D52" s="257"/>
      <c r="E52" s="257"/>
      <c r="F52" s="257"/>
      <c r="G52" s="257"/>
      <c r="H52" s="257"/>
      <c r="I52" s="257"/>
      <c r="O52" s="258"/>
      <c r="P52" s="259"/>
    </row>
    <row r="53" spans="4:16" x14ac:dyDescent="0.35">
      <c r="D53" s="256"/>
      <c r="E53" s="257"/>
      <c r="F53" s="262"/>
      <c r="G53" s="263"/>
      <c r="H53" s="256"/>
      <c r="I53" s="257"/>
      <c r="O53" s="258"/>
      <c r="P53" s="261"/>
    </row>
    <row r="54" spans="4:16" x14ac:dyDescent="0.35">
      <c r="D54" s="257"/>
      <c r="E54" s="257"/>
      <c r="F54" s="263"/>
      <c r="G54" s="263"/>
      <c r="H54" s="257"/>
      <c r="I54" s="257"/>
      <c r="O54" s="258"/>
      <c r="P54" s="261"/>
    </row>
    <row r="55" spans="4:16" ht="15" customHeight="1" x14ac:dyDescent="0.35">
      <c r="D55" s="257"/>
      <c r="E55" s="257"/>
      <c r="F55" s="263"/>
      <c r="G55" s="263"/>
      <c r="H55" s="257"/>
      <c r="I55" s="257"/>
      <c r="O55" s="258"/>
      <c r="P55" s="261"/>
    </row>
    <row r="56" spans="4:16" x14ac:dyDescent="0.35">
      <c r="D56" s="257"/>
      <c r="E56" s="257"/>
      <c r="F56" s="263"/>
      <c r="G56" s="263"/>
      <c r="H56" s="257"/>
      <c r="I56" s="257"/>
    </row>
    <row r="57" spans="4:16" x14ac:dyDescent="0.35">
      <c r="D57" s="257"/>
      <c r="E57" s="257"/>
      <c r="F57" s="263"/>
      <c r="G57" s="263"/>
      <c r="H57" s="257"/>
      <c r="I57" s="257"/>
    </row>
    <row r="58" spans="4:16" x14ac:dyDescent="0.35">
      <c r="D58" s="257"/>
      <c r="E58" s="257"/>
      <c r="F58" s="263"/>
      <c r="G58" s="263"/>
      <c r="H58" s="257"/>
      <c r="I58" s="257"/>
    </row>
    <row r="59" spans="4:16" x14ac:dyDescent="0.35">
      <c r="D59" s="257"/>
      <c r="E59" s="257"/>
      <c r="F59" s="263"/>
      <c r="G59" s="263"/>
      <c r="H59" s="257"/>
      <c r="I59" s="257"/>
    </row>
    <row r="60" spans="4:16" x14ac:dyDescent="0.35">
      <c r="D60" s="257"/>
      <c r="E60" s="257"/>
      <c r="F60" s="263"/>
      <c r="G60" s="263"/>
      <c r="H60" s="257"/>
      <c r="I60" s="257"/>
    </row>
    <row r="61" spans="4:16" x14ac:dyDescent="0.35">
      <c r="D61" s="256"/>
      <c r="E61" s="257"/>
      <c r="F61" s="256"/>
      <c r="G61" s="257"/>
      <c r="H61" s="256"/>
      <c r="I61" s="257"/>
    </row>
    <row r="62" spans="4:16" x14ac:dyDescent="0.35">
      <c r="D62" s="257"/>
      <c r="E62" s="257"/>
      <c r="F62" s="257"/>
      <c r="G62" s="257"/>
      <c r="H62" s="257"/>
      <c r="I62" s="257"/>
    </row>
    <row r="63" spans="4:16" x14ac:dyDescent="0.35">
      <c r="D63" s="257"/>
      <c r="E63" s="257"/>
      <c r="F63" s="257"/>
      <c r="G63" s="257"/>
      <c r="H63" s="257"/>
      <c r="I63" s="257"/>
    </row>
    <row r="64" spans="4:16" x14ac:dyDescent="0.35">
      <c r="D64" s="257"/>
      <c r="E64" s="257"/>
      <c r="F64" s="257"/>
      <c r="G64" s="257"/>
      <c r="H64" s="257"/>
      <c r="I64" s="257"/>
    </row>
    <row r="65" spans="4:14" x14ac:dyDescent="0.35">
      <c r="D65" s="257"/>
      <c r="E65" s="257"/>
      <c r="F65" s="257"/>
      <c r="G65" s="257"/>
      <c r="H65" s="257"/>
      <c r="I65" s="257"/>
    </row>
    <row r="66" spans="4:14" x14ac:dyDescent="0.35">
      <c r="D66" s="257"/>
      <c r="E66" s="257"/>
      <c r="F66" s="257"/>
      <c r="G66" s="257"/>
      <c r="H66" s="257"/>
      <c r="I66" s="257"/>
    </row>
    <row r="67" spans="4:14" x14ac:dyDescent="0.35">
      <c r="D67" s="257"/>
      <c r="E67" s="257"/>
      <c r="F67" s="257"/>
      <c r="G67" s="257"/>
      <c r="H67" s="257"/>
      <c r="I67" s="257"/>
    </row>
    <row r="68" spans="4:14" x14ac:dyDescent="0.35">
      <c r="D68" s="257"/>
      <c r="E68" s="257"/>
      <c r="F68" s="257"/>
      <c r="G68" s="257"/>
      <c r="H68" s="257"/>
      <c r="I68" s="257"/>
    </row>
    <row r="75" spans="4:14" x14ac:dyDescent="0.35">
      <c r="N75" s="46"/>
    </row>
  </sheetData>
  <sheetProtection sheet="1" objects="1" scenarios="1"/>
  <mergeCells count="37">
    <mergeCell ref="P6:P9"/>
    <mergeCell ref="O6:O9"/>
    <mergeCell ref="O10:O13"/>
    <mergeCell ref="P10:P13"/>
    <mergeCell ref="D6:E13"/>
    <mergeCell ref="F6:G13"/>
    <mergeCell ref="H53:I60"/>
    <mergeCell ref="B38:M38"/>
    <mergeCell ref="H6:I13"/>
    <mergeCell ref="H14:I21"/>
    <mergeCell ref="H22:I29"/>
    <mergeCell ref="D14:E21"/>
    <mergeCell ref="D22:E29"/>
    <mergeCell ref="F14:G21"/>
    <mergeCell ref="F22:G29"/>
    <mergeCell ref="O38:O41"/>
    <mergeCell ref="P38:P41"/>
    <mergeCell ref="D61:E68"/>
    <mergeCell ref="F61:G68"/>
    <mergeCell ref="H61:I68"/>
    <mergeCell ref="O44:O47"/>
    <mergeCell ref="P44:P47"/>
    <mergeCell ref="O48:O51"/>
    <mergeCell ref="P48:P51"/>
    <mergeCell ref="O52:O55"/>
    <mergeCell ref="P52:P55"/>
    <mergeCell ref="D45:E52"/>
    <mergeCell ref="F45:G52"/>
    <mergeCell ref="H45:I52"/>
    <mergeCell ref="D53:E60"/>
    <mergeCell ref="F53:G60"/>
    <mergeCell ref="P14:P18"/>
    <mergeCell ref="O14:O18"/>
    <mergeCell ref="O30:O33"/>
    <mergeCell ref="P30:P33"/>
    <mergeCell ref="O34:O37"/>
    <mergeCell ref="P34:P37"/>
  </mergeCells>
  <pageMargins left="0.7" right="0.7" top="0.78740157499999996" bottom="0.78740157499999996" header="0.3" footer="0.3"/>
  <pageSetup paperSize="9" scale="3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FF00"/>
  </sheetPr>
  <dimension ref="B1:AZ199"/>
  <sheetViews>
    <sheetView showGridLines="0" topLeftCell="A3" zoomScale="80" zoomScaleNormal="80" workbookViewId="0">
      <selection activeCell="C20" sqref="C20"/>
    </sheetView>
  </sheetViews>
  <sheetFormatPr defaultColWidth="10.81640625" defaultRowHeight="14.5" x14ac:dyDescent="0.35"/>
  <cols>
    <col min="2" max="2" width="42.453125" bestFit="1" customWidth="1"/>
    <col min="3" max="3" width="37.26953125" bestFit="1" customWidth="1"/>
    <col min="4" max="4" width="20.1796875" bestFit="1" customWidth="1"/>
    <col min="5" max="5" width="10.81640625" customWidth="1"/>
  </cols>
  <sheetData>
    <row r="1" spans="2:52" x14ac:dyDescent="0.35">
      <c r="B1" s="292" t="s">
        <v>78</v>
      </c>
      <c r="C1" s="293"/>
      <c r="D1" s="40"/>
    </row>
    <row r="2" spans="2:52" ht="15" thickBot="1" x14ac:dyDescent="0.4">
      <c r="B2" s="294"/>
      <c r="C2" s="295"/>
    </row>
    <row r="5" spans="2:52" x14ac:dyDescent="0.35">
      <c r="B5" s="2" t="s">
        <v>79</v>
      </c>
      <c r="C5" s="4" t="s">
        <v>80</v>
      </c>
    </row>
    <row r="7" spans="2:52" x14ac:dyDescent="0.35">
      <c r="B7" s="2" t="s">
        <v>81</v>
      </c>
      <c r="C7" s="4" t="s">
        <v>82</v>
      </c>
    </row>
    <row r="9" spans="2:52" x14ac:dyDescent="0.35">
      <c r="B9" s="7" t="s">
        <v>83</v>
      </c>
      <c r="C9" s="8"/>
    </row>
    <row r="10" spans="2:52" x14ac:dyDescent="0.35">
      <c r="B10" s="3" t="s">
        <v>84</v>
      </c>
      <c r="C10" s="14">
        <v>0</v>
      </c>
      <c r="D10" s="223"/>
      <c r="E10" s="40"/>
    </row>
    <row r="11" spans="2:52" x14ac:dyDescent="0.35">
      <c r="B11" s="3" t="s">
        <v>85</v>
      </c>
      <c r="C11" s="14">
        <v>0</v>
      </c>
      <c r="D11" s="223"/>
    </row>
    <row r="13" spans="2:52" ht="15" thickBot="1" x14ac:dyDescent="0.4"/>
    <row r="14" spans="2:52" x14ac:dyDescent="0.35">
      <c r="B14" s="18"/>
      <c r="C14" s="18"/>
      <c r="D14" s="22" t="s">
        <v>86</v>
      </c>
      <c r="E14" s="286">
        <f>'BC Summary US$'!B17</f>
        <v>2022</v>
      </c>
      <c r="F14" s="287"/>
      <c r="G14" s="287"/>
      <c r="H14" s="288"/>
      <c r="I14" s="275">
        <f>E14+1</f>
        <v>2023</v>
      </c>
      <c r="J14" s="276"/>
      <c r="K14" s="276"/>
      <c r="L14" s="277"/>
      <c r="M14" s="275">
        <f t="shared" ref="M14" si="0">I14+1</f>
        <v>2024</v>
      </c>
      <c r="N14" s="276"/>
      <c r="O14" s="276"/>
      <c r="P14" s="277"/>
      <c r="Q14" s="275">
        <f t="shared" ref="Q14" si="1">M14+1</f>
        <v>2025</v>
      </c>
      <c r="R14" s="276"/>
      <c r="S14" s="276"/>
      <c r="T14" s="277"/>
      <c r="U14" s="275">
        <f t="shared" ref="U14" si="2">Q14+1</f>
        <v>2026</v>
      </c>
      <c r="V14" s="276"/>
      <c r="W14" s="276"/>
      <c r="X14" s="277"/>
      <c r="Y14" s="275">
        <f t="shared" ref="Y14" si="3">U14+1</f>
        <v>2027</v>
      </c>
      <c r="Z14" s="276"/>
      <c r="AA14" s="276"/>
      <c r="AB14" s="277"/>
      <c r="AC14" s="275">
        <f t="shared" ref="AC14" si="4">Y14+1</f>
        <v>2028</v>
      </c>
      <c r="AD14" s="276"/>
      <c r="AE14" s="276"/>
      <c r="AF14" s="277"/>
      <c r="AG14" s="275">
        <f t="shared" ref="AG14" si="5">AC14+1</f>
        <v>2029</v>
      </c>
      <c r="AH14" s="276"/>
      <c r="AI14" s="276"/>
      <c r="AJ14" s="277"/>
      <c r="AK14" s="275">
        <f t="shared" ref="AK14" si="6">AG14+1</f>
        <v>2030</v>
      </c>
      <c r="AL14" s="276"/>
      <c r="AM14" s="276"/>
      <c r="AN14" s="277"/>
      <c r="AO14" s="275">
        <f t="shared" ref="AO14" si="7">AK14+1</f>
        <v>2031</v>
      </c>
      <c r="AP14" s="276"/>
      <c r="AQ14" s="276"/>
      <c r="AR14" s="277"/>
      <c r="AS14" s="275">
        <f t="shared" ref="AS14" si="8">AO14+1</f>
        <v>2032</v>
      </c>
      <c r="AT14" s="276"/>
      <c r="AU14" s="276"/>
      <c r="AV14" s="277"/>
      <c r="AW14" s="286" t="s">
        <v>87</v>
      </c>
      <c r="AX14" s="287"/>
      <c r="AY14" s="287"/>
      <c r="AZ14" s="288"/>
    </row>
    <row r="15" spans="2:52" ht="15" thickBot="1" x14ac:dyDescent="0.4">
      <c r="B15" s="19"/>
      <c r="C15" s="19"/>
      <c r="D15" s="19"/>
      <c r="E15" s="24" t="s">
        <v>88</v>
      </c>
      <c r="F15" s="16" t="s">
        <v>89</v>
      </c>
      <c r="G15" s="16" t="s">
        <v>90</v>
      </c>
      <c r="H15" s="17" t="s">
        <v>91</v>
      </c>
      <c r="I15" s="24" t="s">
        <v>88</v>
      </c>
      <c r="J15" s="16" t="s">
        <v>89</v>
      </c>
      <c r="K15" s="16" t="s">
        <v>90</v>
      </c>
      <c r="L15" s="17" t="s">
        <v>91</v>
      </c>
      <c r="M15" s="24" t="s">
        <v>88</v>
      </c>
      <c r="N15" s="16" t="s">
        <v>89</v>
      </c>
      <c r="O15" s="16" t="s">
        <v>90</v>
      </c>
      <c r="P15" s="17" t="s">
        <v>91</v>
      </c>
      <c r="Q15" s="24" t="s">
        <v>88</v>
      </c>
      <c r="R15" s="16" t="s">
        <v>89</v>
      </c>
      <c r="S15" s="16" t="s">
        <v>90</v>
      </c>
      <c r="T15" s="17" t="s">
        <v>91</v>
      </c>
      <c r="U15" s="24" t="s">
        <v>88</v>
      </c>
      <c r="V15" s="16" t="s">
        <v>89</v>
      </c>
      <c r="W15" s="16" t="s">
        <v>90</v>
      </c>
      <c r="X15" s="17" t="s">
        <v>91</v>
      </c>
      <c r="Y15" s="24" t="s">
        <v>88</v>
      </c>
      <c r="Z15" s="16" t="s">
        <v>89</v>
      </c>
      <c r="AA15" s="16" t="s">
        <v>90</v>
      </c>
      <c r="AB15" s="17" t="s">
        <v>91</v>
      </c>
      <c r="AC15" s="24" t="s">
        <v>88</v>
      </c>
      <c r="AD15" s="16" t="s">
        <v>89</v>
      </c>
      <c r="AE15" s="16" t="s">
        <v>90</v>
      </c>
      <c r="AF15" s="17" t="s">
        <v>91</v>
      </c>
      <c r="AG15" s="24" t="s">
        <v>88</v>
      </c>
      <c r="AH15" s="16" t="s">
        <v>89</v>
      </c>
      <c r="AI15" s="16" t="s">
        <v>90</v>
      </c>
      <c r="AJ15" s="17" t="s">
        <v>91</v>
      </c>
      <c r="AK15" s="24" t="s">
        <v>88</v>
      </c>
      <c r="AL15" s="16" t="s">
        <v>89</v>
      </c>
      <c r="AM15" s="16" t="s">
        <v>90</v>
      </c>
      <c r="AN15" s="17" t="s">
        <v>91</v>
      </c>
      <c r="AO15" s="24" t="s">
        <v>88</v>
      </c>
      <c r="AP15" s="16" t="s">
        <v>89</v>
      </c>
      <c r="AQ15" s="16" t="s">
        <v>90</v>
      </c>
      <c r="AR15" s="17" t="s">
        <v>91</v>
      </c>
      <c r="AS15" s="24" t="s">
        <v>88</v>
      </c>
      <c r="AT15" s="16" t="s">
        <v>89</v>
      </c>
      <c r="AU15" s="16" t="s">
        <v>90</v>
      </c>
      <c r="AV15" s="17" t="s">
        <v>91</v>
      </c>
      <c r="AW15" s="289"/>
      <c r="AX15" s="290"/>
      <c r="AY15" s="290"/>
      <c r="AZ15" s="291"/>
    </row>
    <row r="16" spans="2:52" x14ac:dyDescent="0.35">
      <c r="B16" s="23" t="s">
        <v>92</v>
      </c>
      <c r="C16" s="33"/>
      <c r="D16" s="21"/>
      <c r="E16" s="27"/>
      <c r="F16" s="28"/>
      <c r="G16" s="28"/>
      <c r="H16" s="29"/>
      <c r="L16" s="25"/>
      <c r="M16" s="10"/>
      <c r="P16" s="25"/>
      <c r="Q16" s="10"/>
      <c r="T16" s="25"/>
      <c r="U16" s="10"/>
      <c r="X16" s="25"/>
      <c r="Y16" s="10"/>
      <c r="AB16" s="25"/>
      <c r="AC16" s="10"/>
      <c r="AF16" s="25"/>
      <c r="AG16" s="10"/>
      <c r="AJ16" s="25"/>
      <c r="AK16" s="10"/>
      <c r="AN16" s="25"/>
      <c r="AO16" s="10"/>
      <c r="AS16" s="27"/>
      <c r="AT16" s="28"/>
      <c r="AU16" s="28"/>
      <c r="AV16" s="29"/>
      <c r="AW16" s="278"/>
      <c r="AX16" s="279"/>
      <c r="AY16" s="279"/>
      <c r="AZ16" s="280"/>
    </row>
    <row r="17" spans="2:52" x14ac:dyDescent="0.35">
      <c r="B17" s="21" t="s">
        <v>93</v>
      </c>
      <c r="C17" s="77"/>
      <c r="D17" s="21" t="s">
        <v>94</v>
      </c>
      <c r="E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F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G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H17" s="80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I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J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K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L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M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N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O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P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Q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R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S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T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U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V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W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X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Y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Z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A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B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C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D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E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F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G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H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I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J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K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L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M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N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O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P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Q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R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S17" s="78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T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U17" s="79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V17" s="80">
        <f>IF($C$7="On",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,"")</f>
        <v>0</v>
      </c>
      <c r="AW17" s="281"/>
      <c r="AX17" s="261"/>
      <c r="AY17" s="261"/>
      <c r="AZ17" s="282"/>
    </row>
    <row r="18" spans="2:52" x14ac:dyDescent="0.35">
      <c r="B18" s="21" t="s">
        <v>95</v>
      </c>
      <c r="C18" s="76"/>
      <c r="D18" s="21" t="s">
        <v>96</v>
      </c>
      <c r="E18" s="78">
        <f>$C18*POWER(POWER(1-$C$10,0.25),MAX(0,COUNTIF($E17:E17,"&gt;0")-4))</f>
        <v>0</v>
      </c>
      <c r="F18" s="79">
        <f>$C18*POWER(POWER(1-$C$10,0.25),MAX(0,COUNTIF($E17:F17,"&gt;0")-4))</f>
        <v>0</v>
      </c>
      <c r="G18" s="79">
        <f>$C18*POWER(POWER(1-$C$10,0.25),MAX(0,COUNTIF($E17:G17,"&gt;0")-4))</f>
        <v>0</v>
      </c>
      <c r="H18" s="80">
        <f>$C18*POWER(POWER(1-$C$10,0.25),MAX(0,COUNTIF($E17:H17,"&gt;0")-4))</f>
        <v>0</v>
      </c>
      <c r="I18" s="79">
        <f>$C18*POWER(POWER(1-$C$10,0.25),MAX(0,COUNTIF($E17:I17,"&gt;0")-4))</f>
        <v>0</v>
      </c>
      <c r="J18" s="79">
        <f>$C18*POWER(POWER(1-$C$10,0.25),MAX(0,COUNTIF($E17:J17,"&gt;0")-4))</f>
        <v>0</v>
      </c>
      <c r="K18" s="79">
        <f>$C18*POWER(POWER(1-$C$10,0.25),MAX(0,COUNTIF($E17:K17,"&gt;0")-4))</f>
        <v>0</v>
      </c>
      <c r="L18" s="79">
        <f>$C18*POWER(POWER(1-$C$10,0.25),MAX(0,COUNTIF($E17:L17,"&gt;0")-4))</f>
        <v>0</v>
      </c>
      <c r="M18" s="78">
        <f>$C18*POWER(POWER(1-$C$10,0.25),MAX(0,COUNTIF($E17:M17,"&gt;0")-4))</f>
        <v>0</v>
      </c>
      <c r="N18" s="79">
        <f>$C18*POWER(POWER(1-$C$10,0.25),MAX(0,COUNTIF($E17:N17,"&gt;0")-4))</f>
        <v>0</v>
      </c>
      <c r="O18" s="79">
        <f>$C18*POWER(POWER(1-$C$10,0.25),MAX(0,COUNTIF($E17:O17,"&gt;0")-4))</f>
        <v>0</v>
      </c>
      <c r="P18" s="79">
        <f>$C18*POWER(POWER(1-$C$10,0.25),MAX(0,COUNTIF($E17:P17,"&gt;0")-4))</f>
        <v>0</v>
      </c>
      <c r="Q18" s="78">
        <f>$C18*POWER(POWER(1-$C$10,0.25),MAX(0,COUNTIF($E17:Q17,"&gt;0")-4))</f>
        <v>0</v>
      </c>
      <c r="R18" s="79">
        <f>$C18*POWER(POWER(1-$C$10,0.25),MAX(0,COUNTIF($E17:R17,"&gt;0")-4))</f>
        <v>0</v>
      </c>
      <c r="S18" s="79">
        <f>$C18*POWER(POWER(1-$C$10,0.25),MAX(0,COUNTIF($E17:S17,"&gt;0")-4))</f>
        <v>0</v>
      </c>
      <c r="T18" s="79">
        <f>$C18*POWER(POWER(1-$C$10,0.25),MAX(0,COUNTIF($E17:T17,"&gt;0")-4))</f>
        <v>0</v>
      </c>
      <c r="U18" s="78">
        <f>$C18*POWER(POWER(1-$C$10,0.25),MAX(0,COUNTIF($E17:U17,"&gt;0")-4))</f>
        <v>0</v>
      </c>
      <c r="V18" s="79">
        <f>$C18*POWER(POWER(1-$C$10,0.25),MAX(0,COUNTIF($E17:V17,"&gt;0")-4))</f>
        <v>0</v>
      </c>
      <c r="W18" s="79">
        <f>$C18*POWER(POWER(1-$C$10,0.25),MAX(0,COUNTIF($E17:W17,"&gt;0")-4))</f>
        <v>0</v>
      </c>
      <c r="X18" s="79">
        <f>$C18*POWER(POWER(1-$C$10,0.25),MAX(0,COUNTIF($E17:X17,"&gt;0")-4))</f>
        <v>0</v>
      </c>
      <c r="Y18" s="78">
        <f>$C18*POWER(POWER(1-$C$10,0.25),MAX(0,COUNTIF($E17:Y17,"&gt;0")-4))</f>
        <v>0</v>
      </c>
      <c r="Z18" s="79">
        <f>$C18*POWER(POWER(1-$C$10,0.25),MAX(0,COUNTIF($E17:Z17,"&gt;0")-4))</f>
        <v>0</v>
      </c>
      <c r="AA18" s="79">
        <f>$C18*POWER(POWER(1-$C$10,0.25),MAX(0,COUNTIF($E17:AA17,"&gt;0")-4))</f>
        <v>0</v>
      </c>
      <c r="AB18" s="79">
        <f>$C18*POWER(POWER(1-$C$10,0.25),MAX(0,COUNTIF($E17:AB17,"&gt;0")-4))</f>
        <v>0</v>
      </c>
      <c r="AC18" s="78">
        <f>$C18*POWER(POWER(1-$C$10,0.25),MAX(0,COUNTIF($E17:AC17,"&gt;0")-4))</f>
        <v>0</v>
      </c>
      <c r="AD18" s="79">
        <f>$C18*POWER(POWER(1-$C$10,0.25),MAX(0,COUNTIF($E17:AD17,"&gt;0")-4))</f>
        <v>0</v>
      </c>
      <c r="AE18" s="79">
        <f>$C18*POWER(POWER(1-$C$10,0.25),MAX(0,COUNTIF($E17:AE17,"&gt;0")-4))</f>
        <v>0</v>
      </c>
      <c r="AF18" s="79">
        <f>$C18*POWER(POWER(1-$C$10,0.25),MAX(0,COUNTIF($E17:AF17,"&gt;0")-4))</f>
        <v>0</v>
      </c>
      <c r="AG18" s="78">
        <f>$C18*POWER(POWER(1-$C$10,0.25),MAX(0,COUNTIF($E17:AG17,"&gt;0")-4))</f>
        <v>0</v>
      </c>
      <c r="AH18" s="79">
        <f>$C18*POWER(POWER(1-$C$10,0.25),MAX(0,COUNTIF($E17:AH17,"&gt;0")-4))</f>
        <v>0</v>
      </c>
      <c r="AI18" s="79">
        <f>$C18*POWER(POWER(1-$C$10,0.25),MAX(0,COUNTIF($E17:AI17,"&gt;0")-4))</f>
        <v>0</v>
      </c>
      <c r="AJ18" s="79">
        <f>$C18*POWER(POWER(1-$C$10,0.25),MAX(0,COUNTIF($E17:AJ17,"&gt;0")-4))</f>
        <v>0</v>
      </c>
      <c r="AK18" s="78">
        <f>$C18*POWER(POWER(1-$C$10,0.25),MAX(0,COUNTIF($E17:AK17,"&gt;0")-4))</f>
        <v>0</v>
      </c>
      <c r="AL18" s="79">
        <f>$C18*POWER(POWER(1-$C$10,0.25),MAX(0,COUNTIF($E17:AL17,"&gt;0")-4))</f>
        <v>0</v>
      </c>
      <c r="AM18" s="79">
        <f>$C18*POWER(POWER(1-$C$10,0.25),MAX(0,COUNTIF($E17:AM17,"&gt;0")-4))</f>
        <v>0</v>
      </c>
      <c r="AN18" s="79">
        <f>$C18*POWER(POWER(1-$C$10,0.25),MAX(0,COUNTIF($E17:AN17,"&gt;0")-4))</f>
        <v>0</v>
      </c>
      <c r="AO18" s="78">
        <f>$C18*POWER(POWER(1-$C$10,0.25),MAX(0,COUNTIF($E17:AO17,"&gt;0")-4))</f>
        <v>0</v>
      </c>
      <c r="AP18" s="79">
        <f>$C18*POWER(POWER(1-$C$10,0.25),MAX(0,COUNTIF($E17:AP17,"&gt;0")-4))</f>
        <v>0</v>
      </c>
      <c r="AQ18" s="79">
        <f>$C18*POWER(POWER(1-$C$10,0.25),MAX(0,COUNTIF($E17:AQ17,"&gt;0")-4))</f>
        <v>0</v>
      </c>
      <c r="AR18" s="79">
        <f>$C18*POWER(POWER(1-$C$10,0.25),MAX(0,COUNTIF($E17:AR17,"&gt;0")-4))</f>
        <v>0</v>
      </c>
      <c r="AS18" s="78">
        <f>$C18*POWER(POWER(1-$C$10,0.25),MAX(0,COUNTIF($E17:AS17,"&gt;0")-4))</f>
        <v>0</v>
      </c>
      <c r="AT18" s="79">
        <f>$C18*POWER(POWER(1-$C$10,0.25),MAX(0,COUNTIF($E17:AT17,"&gt;0")-4))</f>
        <v>0</v>
      </c>
      <c r="AU18" s="79">
        <f>$C18*POWER(POWER(1-$C$10,0.25),MAX(0,COUNTIF($E17:AU17,"&gt;0")-4))</f>
        <v>0</v>
      </c>
      <c r="AV18" s="80">
        <f>$C18*POWER(POWER(1-$C$10,0.25),MAX(0,COUNTIF($E17:AV17,"&gt;0")-4))</f>
        <v>0</v>
      </c>
      <c r="AW18" s="281"/>
      <c r="AX18" s="261"/>
      <c r="AY18" s="261"/>
      <c r="AZ18" s="282"/>
    </row>
    <row r="19" spans="2:52" x14ac:dyDescent="0.35">
      <c r="B19" s="21" t="s">
        <v>97</v>
      </c>
      <c r="C19" s="76"/>
      <c r="D19" s="21"/>
      <c r="E19" s="81"/>
      <c r="F19" s="82"/>
      <c r="G19" s="82"/>
      <c r="H19" s="83"/>
      <c r="I19" s="82"/>
      <c r="J19" s="82"/>
      <c r="K19" s="82"/>
      <c r="L19" s="83"/>
      <c r="M19" s="81"/>
      <c r="N19" s="82"/>
      <c r="O19" s="82"/>
      <c r="P19" s="83"/>
      <c r="Q19" s="81"/>
      <c r="R19" s="82"/>
      <c r="S19" s="82"/>
      <c r="T19" s="83"/>
      <c r="U19" s="81"/>
      <c r="V19" s="82"/>
      <c r="W19" s="82"/>
      <c r="X19" s="83"/>
      <c r="Y19" s="81"/>
      <c r="Z19" s="82"/>
      <c r="AA19" s="82"/>
      <c r="AB19" s="83"/>
      <c r="AC19" s="81"/>
      <c r="AD19" s="82"/>
      <c r="AE19" s="82"/>
      <c r="AF19" s="83"/>
      <c r="AG19" s="81"/>
      <c r="AH19" s="82"/>
      <c r="AI19" s="82"/>
      <c r="AJ19" s="83"/>
      <c r="AK19" s="81"/>
      <c r="AL19" s="82"/>
      <c r="AM19" s="82"/>
      <c r="AN19" s="83"/>
      <c r="AO19" s="81"/>
      <c r="AP19" s="82"/>
      <c r="AQ19" s="82"/>
      <c r="AR19" s="82"/>
      <c r="AS19" s="81"/>
      <c r="AT19" s="82"/>
      <c r="AU19" s="82"/>
      <c r="AV19" s="83"/>
      <c r="AW19" s="281"/>
      <c r="AX19" s="261"/>
      <c r="AY19" s="261"/>
      <c r="AZ19" s="282"/>
    </row>
    <row r="20" spans="2:52" x14ac:dyDescent="0.35">
      <c r="B20" s="21" t="s">
        <v>98</v>
      </c>
      <c r="C20" s="220">
        <v>11</v>
      </c>
      <c r="D20" s="21" t="s">
        <v>99</v>
      </c>
      <c r="E20" s="81">
        <f>IFERROR(E17*E18,"")</f>
        <v>0</v>
      </c>
      <c r="F20" s="82">
        <f t="shared" ref="F20:AV20" si="9">IFERROR(F17*F18,"")</f>
        <v>0</v>
      </c>
      <c r="G20" s="82">
        <f t="shared" si="9"/>
        <v>0</v>
      </c>
      <c r="H20" s="83">
        <f t="shared" si="9"/>
        <v>0</v>
      </c>
      <c r="I20" s="82">
        <f t="shared" si="9"/>
        <v>0</v>
      </c>
      <c r="J20" s="82">
        <f t="shared" si="9"/>
        <v>0</v>
      </c>
      <c r="K20" s="82">
        <f t="shared" si="9"/>
        <v>0</v>
      </c>
      <c r="L20" s="82">
        <f t="shared" si="9"/>
        <v>0</v>
      </c>
      <c r="M20" s="81">
        <f t="shared" si="9"/>
        <v>0</v>
      </c>
      <c r="N20" s="82">
        <f t="shared" si="9"/>
        <v>0</v>
      </c>
      <c r="O20" s="82">
        <f t="shared" si="9"/>
        <v>0</v>
      </c>
      <c r="P20" s="82">
        <f t="shared" si="9"/>
        <v>0</v>
      </c>
      <c r="Q20" s="81">
        <f t="shared" si="9"/>
        <v>0</v>
      </c>
      <c r="R20" s="82">
        <f t="shared" si="9"/>
        <v>0</v>
      </c>
      <c r="S20" s="82">
        <f t="shared" si="9"/>
        <v>0</v>
      </c>
      <c r="T20" s="82">
        <f t="shared" si="9"/>
        <v>0</v>
      </c>
      <c r="U20" s="81">
        <f t="shared" si="9"/>
        <v>0</v>
      </c>
      <c r="V20" s="82">
        <f t="shared" si="9"/>
        <v>0</v>
      </c>
      <c r="W20" s="82">
        <f t="shared" si="9"/>
        <v>0</v>
      </c>
      <c r="X20" s="82">
        <f t="shared" si="9"/>
        <v>0</v>
      </c>
      <c r="Y20" s="81">
        <f t="shared" si="9"/>
        <v>0</v>
      </c>
      <c r="Z20" s="82">
        <f t="shared" si="9"/>
        <v>0</v>
      </c>
      <c r="AA20" s="82">
        <f t="shared" si="9"/>
        <v>0</v>
      </c>
      <c r="AB20" s="82">
        <f t="shared" si="9"/>
        <v>0</v>
      </c>
      <c r="AC20" s="81">
        <f t="shared" si="9"/>
        <v>0</v>
      </c>
      <c r="AD20" s="82">
        <f t="shared" si="9"/>
        <v>0</v>
      </c>
      <c r="AE20" s="82">
        <f t="shared" si="9"/>
        <v>0</v>
      </c>
      <c r="AF20" s="82">
        <f t="shared" si="9"/>
        <v>0</v>
      </c>
      <c r="AG20" s="81">
        <f t="shared" si="9"/>
        <v>0</v>
      </c>
      <c r="AH20" s="82">
        <f t="shared" si="9"/>
        <v>0</v>
      </c>
      <c r="AI20" s="82">
        <f t="shared" si="9"/>
        <v>0</v>
      </c>
      <c r="AJ20" s="82">
        <f t="shared" si="9"/>
        <v>0</v>
      </c>
      <c r="AK20" s="81">
        <f t="shared" si="9"/>
        <v>0</v>
      </c>
      <c r="AL20" s="82">
        <f t="shared" si="9"/>
        <v>0</v>
      </c>
      <c r="AM20" s="82">
        <f t="shared" si="9"/>
        <v>0</v>
      </c>
      <c r="AN20" s="82">
        <f t="shared" si="9"/>
        <v>0</v>
      </c>
      <c r="AO20" s="81">
        <f t="shared" si="9"/>
        <v>0</v>
      </c>
      <c r="AP20" s="82">
        <f t="shared" si="9"/>
        <v>0</v>
      </c>
      <c r="AQ20" s="82">
        <f t="shared" si="9"/>
        <v>0</v>
      </c>
      <c r="AR20" s="82">
        <f t="shared" si="9"/>
        <v>0</v>
      </c>
      <c r="AS20" s="81">
        <f t="shared" si="9"/>
        <v>0</v>
      </c>
      <c r="AT20" s="82">
        <f t="shared" si="9"/>
        <v>0</v>
      </c>
      <c r="AU20" s="82">
        <f t="shared" si="9"/>
        <v>0</v>
      </c>
      <c r="AV20" s="83">
        <f t="shared" si="9"/>
        <v>0</v>
      </c>
      <c r="AW20" s="281"/>
      <c r="AX20" s="261"/>
      <c r="AY20" s="261"/>
      <c r="AZ20" s="282"/>
    </row>
    <row r="21" spans="2:52" x14ac:dyDescent="0.35">
      <c r="B21" s="21" t="s">
        <v>100</v>
      </c>
      <c r="C21" s="220">
        <v>34</v>
      </c>
      <c r="D21" s="21" t="s">
        <v>101</v>
      </c>
      <c r="E21" s="78">
        <f>IFERROR($C19*POWER(POWER(1-$C$11,0.25),MAX(0,COUNTIF($E17:E17,"&gt;0")-4))*E17,"")</f>
        <v>0</v>
      </c>
      <c r="F21" s="79">
        <f>IFERROR($C19*POWER(POWER(1-$C$11,0.25),MAX(0,COUNTIF($E17:F17,"&gt;0")-4))*F17,"")</f>
        <v>0</v>
      </c>
      <c r="G21" s="79">
        <f>IFERROR($C19*POWER(POWER(1-$C$11,0.25),MAX(0,COUNTIF($E17:G17,"&gt;0")-4))*G17,"")</f>
        <v>0</v>
      </c>
      <c r="H21" s="80">
        <f>IFERROR($C19*POWER(POWER(1-$C$11,0.25),MAX(0,COUNTIF($E17:H17,"&gt;0")-4))*H17,"")</f>
        <v>0</v>
      </c>
      <c r="I21" s="79">
        <f>IFERROR($C19*POWER(POWER(1-$C$11,0.25),MAX(0,COUNTIF($E17:I17,"&gt;0")-4))*I17,"")</f>
        <v>0</v>
      </c>
      <c r="J21" s="79">
        <f>IFERROR($C19*POWER(POWER(1-$C$11,0.25),MAX(0,COUNTIF($E17:J17,"&gt;0")-4))*J17,"")</f>
        <v>0</v>
      </c>
      <c r="K21" s="79">
        <f>IFERROR($C19*POWER(POWER(1-$C$11,0.25),MAX(0,COUNTIF($E17:K17,"&gt;0")-4))*K17,"")</f>
        <v>0</v>
      </c>
      <c r="L21" s="79">
        <f>IFERROR($C19*POWER(POWER(1-$C$11,0.25),MAX(0,COUNTIF($E17:L17,"&gt;0")-4))*L17,"")</f>
        <v>0</v>
      </c>
      <c r="M21" s="78">
        <f>IFERROR($C19*POWER(POWER(1-$C$11,0.25),MAX(0,COUNTIF($E17:M17,"&gt;0")-4))*M17,"")</f>
        <v>0</v>
      </c>
      <c r="N21" s="79">
        <f>IFERROR($C19*POWER(POWER(1-$C$11,0.25),MAX(0,COUNTIF($E17:N17,"&gt;0")-4))*N17,"")</f>
        <v>0</v>
      </c>
      <c r="O21" s="79">
        <f>IFERROR($C19*POWER(POWER(1-$C$11,0.25),MAX(0,COUNTIF($E17:O17,"&gt;0")-4))*O17,"")</f>
        <v>0</v>
      </c>
      <c r="P21" s="79">
        <f>IFERROR($C19*POWER(POWER(1-$C$11,0.25),MAX(0,COUNTIF($E17:P17,"&gt;0")-4))*P17,"")</f>
        <v>0</v>
      </c>
      <c r="Q21" s="78">
        <f>IFERROR($C19*POWER(POWER(1-$C$11,0.25),MAX(0,COUNTIF($E17:Q17,"&gt;0")-4))*Q17,"")</f>
        <v>0</v>
      </c>
      <c r="R21" s="79">
        <f>IFERROR($C19*POWER(POWER(1-$C$11,0.25),MAX(0,COUNTIF($E17:R17,"&gt;0")-4))*R17,"")</f>
        <v>0</v>
      </c>
      <c r="S21" s="79">
        <f>IFERROR($C19*POWER(POWER(1-$C$11,0.25),MAX(0,COUNTIF($E17:S17,"&gt;0")-4))*S17,"")</f>
        <v>0</v>
      </c>
      <c r="T21" s="79">
        <f>IFERROR($C19*POWER(POWER(1-$C$11,0.25),MAX(0,COUNTIF($E17:T17,"&gt;0")-4))*T17,"")</f>
        <v>0</v>
      </c>
      <c r="U21" s="78">
        <f>IFERROR($C19*POWER(POWER(1-$C$11,0.25),MAX(0,COUNTIF($E17:U17,"&gt;0")-4))*U17,"")</f>
        <v>0</v>
      </c>
      <c r="V21" s="79">
        <f>IFERROR($C19*POWER(POWER(1-$C$11,0.25),MAX(0,COUNTIF($E17:V17,"&gt;0")-4))*V17,"")</f>
        <v>0</v>
      </c>
      <c r="W21" s="79">
        <f>IFERROR($C19*POWER(POWER(1-$C$11,0.25),MAX(0,COUNTIF($E17:W17,"&gt;0")-4))*W17,"")</f>
        <v>0</v>
      </c>
      <c r="X21" s="79">
        <f>IFERROR($C19*POWER(POWER(1-$C$11,0.25),MAX(0,COUNTIF($E17:X17,"&gt;0")-4))*X17,"")</f>
        <v>0</v>
      </c>
      <c r="Y21" s="78">
        <f>IFERROR($C19*POWER(POWER(1-$C$11,0.25),MAX(0,COUNTIF($E17:Y17,"&gt;0")-4))*Y17,"")</f>
        <v>0</v>
      </c>
      <c r="Z21" s="79">
        <f>IFERROR($C19*POWER(POWER(1-$C$11,0.25),MAX(0,COUNTIF($E17:Z17,"&gt;0")-4))*Z17,"")</f>
        <v>0</v>
      </c>
      <c r="AA21" s="79">
        <f>IFERROR($C19*POWER(POWER(1-$C$11,0.25),MAX(0,COUNTIF($E17:AA17,"&gt;0")-4))*AA17,"")</f>
        <v>0</v>
      </c>
      <c r="AB21" s="79">
        <f>IFERROR($C19*POWER(POWER(1-$C$11,0.25),MAX(0,COUNTIF($E17:AB17,"&gt;0")-4))*AB17,"")</f>
        <v>0</v>
      </c>
      <c r="AC21" s="78">
        <f>IFERROR($C19*POWER(POWER(1-$C$11,0.25),MAX(0,COUNTIF($E17:AC17,"&gt;0")-4))*AC17,"")</f>
        <v>0</v>
      </c>
      <c r="AD21" s="79">
        <f>IFERROR($C19*POWER(POWER(1-$C$11,0.25),MAX(0,COUNTIF($E17:AD17,"&gt;0")-4))*AD17,"")</f>
        <v>0</v>
      </c>
      <c r="AE21" s="79">
        <f>IFERROR($C19*POWER(POWER(1-$C$11,0.25),MAX(0,COUNTIF($E17:AE17,"&gt;0")-4))*AE17,"")</f>
        <v>0</v>
      </c>
      <c r="AF21" s="79">
        <f>IFERROR($C19*POWER(POWER(1-$C$11,0.25),MAX(0,COUNTIF($E17:AF17,"&gt;0")-4))*AF17,"")</f>
        <v>0</v>
      </c>
      <c r="AG21" s="78">
        <f>IFERROR($C19*POWER(POWER(1-$C$11,0.25),MAX(0,COUNTIF($E17:AG17,"&gt;0")-4))*AG17,"")</f>
        <v>0</v>
      </c>
      <c r="AH21" s="79">
        <f>IFERROR($C19*POWER(POWER(1-$C$11,0.25),MAX(0,COUNTIF($E17:AH17,"&gt;0")-4))*AH17,"")</f>
        <v>0</v>
      </c>
      <c r="AI21" s="79">
        <f>IFERROR($C19*POWER(POWER(1-$C$11,0.25),MAX(0,COUNTIF($E17:AI17,"&gt;0")-4))*AI17,"")</f>
        <v>0</v>
      </c>
      <c r="AJ21" s="79">
        <f>IFERROR($C19*POWER(POWER(1-$C$11,0.25),MAX(0,COUNTIF($E17:AJ17,"&gt;0")-4))*AJ17,"")</f>
        <v>0</v>
      </c>
      <c r="AK21" s="78">
        <f>IFERROR($C19*POWER(POWER(1-$C$11,0.25),MAX(0,COUNTIF($E17:AK17,"&gt;0")-4))*AK17,"")</f>
        <v>0</v>
      </c>
      <c r="AL21" s="79">
        <f>IFERROR($C19*POWER(POWER(1-$C$11,0.25),MAX(0,COUNTIF($E17:AL17,"&gt;0")-4))*AL17,"")</f>
        <v>0</v>
      </c>
      <c r="AM21" s="79">
        <f>IFERROR($C19*POWER(POWER(1-$C$11,0.25),MAX(0,COUNTIF($E17:AM17,"&gt;0")-4))*AM17,"")</f>
        <v>0</v>
      </c>
      <c r="AN21" s="79">
        <f>IFERROR($C19*POWER(POWER(1-$C$11,0.25),MAX(0,COUNTIF($E17:AN17,"&gt;0")-4))*AN17,"")</f>
        <v>0</v>
      </c>
      <c r="AO21" s="78">
        <f>IFERROR($C19*POWER(POWER(1-$C$11,0.25),MAX(0,COUNTIF($E17:AO17,"&gt;0")-4))*AO17,"")</f>
        <v>0</v>
      </c>
      <c r="AP21" s="79">
        <f>IFERROR($C19*POWER(POWER(1-$C$11,0.25),MAX(0,COUNTIF($E17:AP17,"&gt;0")-4))*AP17,"")</f>
        <v>0</v>
      </c>
      <c r="AQ21" s="79">
        <f>IFERROR($C19*POWER(POWER(1-$C$11,0.25),MAX(0,COUNTIF($E17:AQ17,"&gt;0")-4))*AQ17,"")</f>
        <v>0</v>
      </c>
      <c r="AR21" s="79">
        <f>IFERROR($C19*POWER(POWER(1-$C$11,0.25),MAX(0,COUNTIF($E17:AR17,"&gt;0")-4))*AR17,"")</f>
        <v>0</v>
      </c>
      <c r="AS21" s="78">
        <f>IFERROR($C19*POWER(POWER(1-$C$11,0.25),MAX(0,COUNTIF($E17:AS17,"&gt;0")-4))*AS17,"")</f>
        <v>0</v>
      </c>
      <c r="AT21" s="79">
        <f>IFERROR($C19*POWER(POWER(1-$C$11,0.25),MAX(0,COUNTIF($E17:AT17,"&gt;0")-4))*AT17,"")</f>
        <v>0</v>
      </c>
      <c r="AU21" s="79">
        <f>IFERROR($C19*POWER(POWER(1-$C$11,0.25),MAX(0,COUNTIF($E17:AU17,"&gt;0")-4))*AU17,"")</f>
        <v>0</v>
      </c>
      <c r="AV21" s="80">
        <f>IFERROR($C19*POWER(POWER(1-$C$11,0.25),MAX(0,COUNTIF($E17:AV17,"&gt;0")-4))*AV17,"")</f>
        <v>0</v>
      </c>
      <c r="AW21" s="281"/>
      <c r="AX21" s="261"/>
      <c r="AY21" s="261"/>
      <c r="AZ21" s="282"/>
    </row>
    <row r="22" spans="2:52" x14ac:dyDescent="0.35">
      <c r="B22" s="21" t="s">
        <v>102</v>
      </c>
      <c r="C22" s="220"/>
      <c r="D22" s="21"/>
      <c r="E22" s="81"/>
      <c r="F22" s="82"/>
      <c r="G22" s="82"/>
      <c r="H22" s="83"/>
      <c r="I22" s="82"/>
      <c r="J22" s="82"/>
      <c r="K22" s="82"/>
      <c r="L22" s="83"/>
      <c r="M22" s="81"/>
      <c r="N22" s="82"/>
      <c r="O22" s="82"/>
      <c r="P22" s="83"/>
      <c r="Q22" s="81"/>
      <c r="R22" s="82"/>
      <c r="S22" s="82"/>
      <c r="T22" s="83"/>
      <c r="U22" s="81"/>
      <c r="V22" s="82"/>
      <c r="W22" s="82"/>
      <c r="X22" s="83"/>
      <c r="Y22" s="81"/>
      <c r="Z22" s="82"/>
      <c r="AA22" s="82"/>
      <c r="AB22" s="83"/>
      <c r="AC22" s="81"/>
      <c r="AD22" s="82"/>
      <c r="AE22" s="82"/>
      <c r="AF22" s="83"/>
      <c r="AG22" s="81"/>
      <c r="AH22" s="82"/>
      <c r="AI22" s="82"/>
      <c r="AJ22" s="83"/>
      <c r="AK22" s="81"/>
      <c r="AL22" s="82"/>
      <c r="AM22" s="82"/>
      <c r="AN22" s="83"/>
      <c r="AO22" s="81"/>
      <c r="AP22" s="82"/>
      <c r="AQ22" s="82"/>
      <c r="AR22" s="82"/>
      <c r="AS22" s="81"/>
      <c r="AT22" s="82"/>
      <c r="AU22" s="82"/>
      <c r="AV22" s="83"/>
      <c r="AW22" s="281"/>
      <c r="AX22" s="261"/>
      <c r="AY22" s="261"/>
      <c r="AZ22" s="282"/>
    </row>
    <row r="23" spans="2:52" x14ac:dyDescent="0.35">
      <c r="B23" s="21" t="s">
        <v>103</v>
      </c>
      <c r="C23" s="220"/>
      <c r="D23" s="21"/>
      <c r="E23" s="81"/>
      <c r="F23" s="82"/>
      <c r="G23" s="82"/>
      <c r="H23" s="83"/>
      <c r="I23" s="82"/>
      <c r="J23" s="82"/>
      <c r="K23" s="82"/>
      <c r="L23" s="83"/>
      <c r="M23" s="81"/>
      <c r="N23" s="82"/>
      <c r="O23" s="82"/>
      <c r="P23" s="83"/>
      <c r="Q23" s="81"/>
      <c r="R23" s="82"/>
      <c r="S23" s="82"/>
      <c r="T23" s="83"/>
      <c r="U23" s="81"/>
      <c r="V23" s="82"/>
      <c r="W23" s="82"/>
      <c r="X23" s="83"/>
      <c r="Y23" s="81"/>
      <c r="Z23" s="82"/>
      <c r="AA23" s="82"/>
      <c r="AB23" s="83"/>
      <c r="AC23" s="81"/>
      <c r="AD23" s="82"/>
      <c r="AE23" s="82"/>
      <c r="AF23" s="83"/>
      <c r="AG23" s="81"/>
      <c r="AH23" s="82"/>
      <c r="AI23" s="82"/>
      <c r="AJ23" s="83"/>
      <c r="AK23" s="81"/>
      <c r="AL23" s="82"/>
      <c r="AM23" s="82"/>
      <c r="AN23" s="83"/>
      <c r="AO23" s="81"/>
      <c r="AP23" s="82"/>
      <c r="AQ23" s="82"/>
      <c r="AR23" s="82"/>
      <c r="AS23" s="81"/>
      <c r="AT23" s="82"/>
      <c r="AU23" s="82"/>
      <c r="AV23" s="83"/>
      <c r="AW23" s="281"/>
      <c r="AX23" s="261"/>
      <c r="AY23" s="261"/>
      <c r="AZ23" s="282"/>
    </row>
    <row r="24" spans="2:52" x14ac:dyDescent="0.35">
      <c r="B24" s="21" t="s">
        <v>104</v>
      </c>
      <c r="C24" s="221"/>
      <c r="D24" s="23" t="s">
        <v>105</v>
      </c>
      <c r="E24" s="81">
        <f>IFERROR(E20*$C25,"")</f>
        <v>0</v>
      </c>
      <c r="F24" s="82">
        <f t="shared" ref="F24:AV24" si="10">IFERROR(F20*$C25,"")</f>
        <v>0</v>
      </c>
      <c r="G24" s="82">
        <f t="shared" si="10"/>
        <v>0</v>
      </c>
      <c r="H24" s="83">
        <f t="shared" si="10"/>
        <v>0</v>
      </c>
      <c r="I24" s="82">
        <f t="shared" si="10"/>
        <v>0</v>
      </c>
      <c r="J24" s="82">
        <f t="shared" si="10"/>
        <v>0</v>
      </c>
      <c r="K24" s="82">
        <f t="shared" si="10"/>
        <v>0</v>
      </c>
      <c r="L24" s="82">
        <f t="shared" si="10"/>
        <v>0</v>
      </c>
      <c r="M24" s="81">
        <f t="shared" si="10"/>
        <v>0</v>
      </c>
      <c r="N24" s="82">
        <f t="shared" si="10"/>
        <v>0</v>
      </c>
      <c r="O24" s="82">
        <f t="shared" si="10"/>
        <v>0</v>
      </c>
      <c r="P24" s="82">
        <f t="shared" si="10"/>
        <v>0</v>
      </c>
      <c r="Q24" s="81">
        <f t="shared" si="10"/>
        <v>0</v>
      </c>
      <c r="R24" s="82">
        <f t="shared" si="10"/>
        <v>0</v>
      </c>
      <c r="S24" s="82">
        <f t="shared" si="10"/>
        <v>0</v>
      </c>
      <c r="T24" s="82">
        <f t="shared" si="10"/>
        <v>0</v>
      </c>
      <c r="U24" s="81">
        <f t="shared" si="10"/>
        <v>0</v>
      </c>
      <c r="V24" s="82">
        <f t="shared" si="10"/>
        <v>0</v>
      </c>
      <c r="W24" s="82">
        <f t="shared" si="10"/>
        <v>0</v>
      </c>
      <c r="X24" s="82">
        <f t="shared" si="10"/>
        <v>0</v>
      </c>
      <c r="Y24" s="81">
        <f t="shared" si="10"/>
        <v>0</v>
      </c>
      <c r="Z24" s="82">
        <f t="shared" si="10"/>
        <v>0</v>
      </c>
      <c r="AA24" s="82">
        <f t="shared" si="10"/>
        <v>0</v>
      </c>
      <c r="AB24" s="82">
        <f t="shared" si="10"/>
        <v>0</v>
      </c>
      <c r="AC24" s="81">
        <f t="shared" si="10"/>
        <v>0</v>
      </c>
      <c r="AD24" s="82">
        <f t="shared" si="10"/>
        <v>0</v>
      </c>
      <c r="AE24" s="82">
        <f t="shared" si="10"/>
        <v>0</v>
      </c>
      <c r="AF24" s="82">
        <f t="shared" si="10"/>
        <v>0</v>
      </c>
      <c r="AG24" s="81">
        <f t="shared" si="10"/>
        <v>0</v>
      </c>
      <c r="AH24" s="82">
        <f t="shared" si="10"/>
        <v>0</v>
      </c>
      <c r="AI24" s="82">
        <f t="shared" si="10"/>
        <v>0</v>
      </c>
      <c r="AJ24" s="82">
        <f t="shared" si="10"/>
        <v>0</v>
      </c>
      <c r="AK24" s="81">
        <f t="shared" si="10"/>
        <v>0</v>
      </c>
      <c r="AL24" s="82">
        <f t="shared" si="10"/>
        <v>0</v>
      </c>
      <c r="AM24" s="82">
        <f t="shared" si="10"/>
        <v>0</v>
      </c>
      <c r="AN24" s="82">
        <f t="shared" si="10"/>
        <v>0</v>
      </c>
      <c r="AO24" s="81">
        <f t="shared" si="10"/>
        <v>0</v>
      </c>
      <c r="AP24" s="82">
        <f t="shared" si="10"/>
        <v>0</v>
      </c>
      <c r="AQ24" s="82">
        <f t="shared" si="10"/>
        <v>0</v>
      </c>
      <c r="AR24" s="82">
        <f t="shared" si="10"/>
        <v>0</v>
      </c>
      <c r="AS24" s="81">
        <f t="shared" si="10"/>
        <v>0</v>
      </c>
      <c r="AT24" s="82">
        <f t="shared" si="10"/>
        <v>0</v>
      </c>
      <c r="AU24" s="82">
        <f t="shared" si="10"/>
        <v>0</v>
      </c>
      <c r="AV24" s="83">
        <f t="shared" si="10"/>
        <v>0</v>
      </c>
      <c r="AW24" s="281"/>
      <c r="AX24" s="261"/>
      <c r="AY24" s="261"/>
      <c r="AZ24" s="282"/>
    </row>
    <row r="25" spans="2:52" x14ac:dyDescent="0.35">
      <c r="B25" s="21" t="s">
        <v>106</v>
      </c>
      <c r="C25" s="222"/>
      <c r="D25" s="23" t="s">
        <v>107</v>
      </c>
      <c r="E25" s="81">
        <f>IFERROR(IF($C24="indirect cannibalization",-1*E21*$C25,E21*$C25),"")</f>
        <v>0</v>
      </c>
      <c r="F25" s="82">
        <f t="shared" ref="F25:AV25" si="11">IFERROR(IF($C24="indirect cannibalization",-1*F21*$C25,F21*$C25),"")</f>
        <v>0</v>
      </c>
      <c r="G25" s="82">
        <f t="shared" si="11"/>
        <v>0</v>
      </c>
      <c r="H25" s="82">
        <f t="shared" si="11"/>
        <v>0</v>
      </c>
      <c r="I25" s="81">
        <f t="shared" si="11"/>
        <v>0</v>
      </c>
      <c r="J25" s="82">
        <f t="shared" si="11"/>
        <v>0</v>
      </c>
      <c r="K25" s="82">
        <f t="shared" si="11"/>
        <v>0</v>
      </c>
      <c r="L25" s="82">
        <f t="shared" si="11"/>
        <v>0</v>
      </c>
      <c r="M25" s="81">
        <f t="shared" si="11"/>
        <v>0</v>
      </c>
      <c r="N25" s="82">
        <f t="shared" si="11"/>
        <v>0</v>
      </c>
      <c r="O25" s="82">
        <f t="shared" si="11"/>
        <v>0</v>
      </c>
      <c r="P25" s="82">
        <f t="shared" si="11"/>
        <v>0</v>
      </c>
      <c r="Q25" s="81">
        <f t="shared" si="11"/>
        <v>0</v>
      </c>
      <c r="R25" s="82">
        <f t="shared" si="11"/>
        <v>0</v>
      </c>
      <c r="S25" s="82">
        <f t="shared" si="11"/>
        <v>0</v>
      </c>
      <c r="T25" s="82">
        <f t="shared" si="11"/>
        <v>0</v>
      </c>
      <c r="U25" s="81">
        <f t="shared" si="11"/>
        <v>0</v>
      </c>
      <c r="V25" s="82">
        <f t="shared" si="11"/>
        <v>0</v>
      </c>
      <c r="W25" s="82">
        <f t="shared" si="11"/>
        <v>0</v>
      </c>
      <c r="X25" s="82">
        <f t="shared" si="11"/>
        <v>0</v>
      </c>
      <c r="Y25" s="81">
        <f t="shared" si="11"/>
        <v>0</v>
      </c>
      <c r="Z25" s="82">
        <f t="shared" si="11"/>
        <v>0</v>
      </c>
      <c r="AA25" s="82">
        <f t="shared" si="11"/>
        <v>0</v>
      </c>
      <c r="AB25" s="82">
        <f t="shared" si="11"/>
        <v>0</v>
      </c>
      <c r="AC25" s="81">
        <f t="shared" si="11"/>
        <v>0</v>
      </c>
      <c r="AD25" s="82">
        <f t="shared" si="11"/>
        <v>0</v>
      </c>
      <c r="AE25" s="82">
        <f t="shared" si="11"/>
        <v>0</v>
      </c>
      <c r="AF25" s="82">
        <f t="shared" si="11"/>
        <v>0</v>
      </c>
      <c r="AG25" s="81">
        <f t="shared" si="11"/>
        <v>0</v>
      </c>
      <c r="AH25" s="82">
        <f t="shared" si="11"/>
        <v>0</v>
      </c>
      <c r="AI25" s="82">
        <f t="shared" si="11"/>
        <v>0</v>
      </c>
      <c r="AJ25" s="82">
        <f t="shared" si="11"/>
        <v>0</v>
      </c>
      <c r="AK25" s="81">
        <f t="shared" si="11"/>
        <v>0</v>
      </c>
      <c r="AL25" s="82">
        <f t="shared" si="11"/>
        <v>0</v>
      </c>
      <c r="AM25" s="82">
        <f t="shared" si="11"/>
        <v>0</v>
      </c>
      <c r="AN25" s="82">
        <f t="shared" si="11"/>
        <v>0</v>
      </c>
      <c r="AO25" s="81">
        <f t="shared" si="11"/>
        <v>0</v>
      </c>
      <c r="AP25" s="82">
        <f t="shared" si="11"/>
        <v>0</v>
      </c>
      <c r="AQ25" s="82">
        <f t="shared" si="11"/>
        <v>0</v>
      </c>
      <c r="AR25" s="82">
        <f t="shared" si="11"/>
        <v>0</v>
      </c>
      <c r="AS25" s="81">
        <f t="shared" si="11"/>
        <v>0</v>
      </c>
      <c r="AT25" s="82">
        <f t="shared" si="11"/>
        <v>0</v>
      </c>
      <c r="AU25" s="82">
        <f t="shared" si="11"/>
        <v>0</v>
      </c>
      <c r="AV25" s="82">
        <f t="shared" si="11"/>
        <v>0</v>
      </c>
      <c r="AW25" s="281"/>
      <c r="AX25" s="261"/>
      <c r="AY25" s="261"/>
      <c r="AZ25" s="282"/>
    </row>
    <row r="26" spans="2:52" ht="15" thickBot="1" x14ac:dyDescent="0.4">
      <c r="B26" s="19"/>
      <c r="C26" s="19"/>
      <c r="D26" s="19"/>
      <c r="E26" s="15"/>
      <c r="F26" s="9"/>
      <c r="G26" s="9"/>
      <c r="H26" s="26"/>
      <c r="I26" s="9"/>
      <c r="J26" s="9"/>
      <c r="K26" s="9"/>
      <c r="L26" s="26"/>
      <c r="M26" s="15"/>
      <c r="N26" s="9"/>
      <c r="O26" s="9"/>
      <c r="P26" s="26"/>
      <c r="Q26" s="15"/>
      <c r="R26" s="9"/>
      <c r="S26" s="9"/>
      <c r="T26" s="26"/>
      <c r="U26" s="15"/>
      <c r="V26" s="9"/>
      <c r="W26" s="9"/>
      <c r="X26" s="26"/>
      <c r="Y26" s="15"/>
      <c r="Z26" s="9"/>
      <c r="AA26" s="9"/>
      <c r="AB26" s="26"/>
      <c r="AC26" s="15"/>
      <c r="AD26" s="9"/>
      <c r="AE26" s="9"/>
      <c r="AF26" s="26"/>
      <c r="AG26" s="15"/>
      <c r="AH26" s="9"/>
      <c r="AI26" s="9"/>
      <c r="AJ26" s="26"/>
      <c r="AK26" s="15"/>
      <c r="AL26" s="9"/>
      <c r="AM26" s="9"/>
      <c r="AN26" s="26"/>
      <c r="AO26" s="15"/>
      <c r="AP26" s="9"/>
      <c r="AQ26" s="9"/>
      <c r="AR26" s="9"/>
      <c r="AS26" s="15"/>
      <c r="AT26" s="9"/>
      <c r="AU26" s="9"/>
      <c r="AV26" s="26"/>
      <c r="AW26" s="283"/>
      <c r="AX26" s="284"/>
      <c r="AY26" s="284"/>
      <c r="AZ26" s="285"/>
    </row>
    <row r="27" spans="2:52" hidden="1" x14ac:dyDescent="0.35"/>
    <row r="28" spans="2:52" hidden="1" x14ac:dyDescent="0.35"/>
    <row r="29" spans="2:52" hidden="1" x14ac:dyDescent="0.35"/>
    <row r="30" spans="2:52" hidden="1" x14ac:dyDescent="0.35"/>
    <row r="31" spans="2:52" hidden="1" x14ac:dyDescent="0.35"/>
    <row r="32" spans="2:5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hidden="1" x14ac:dyDescent="0.35"/>
    <row r="82" hidden="1" x14ac:dyDescent="0.35"/>
    <row r="83" hidden="1" x14ac:dyDescent="0.35"/>
    <row r="84" hidden="1" x14ac:dyDescent="0.35"/>
    <row r="85" hidden="1" x14ac:dyDescent="0.35"/>
    <row r="86" hidden="1" x14ac:dyDescent="0.35"/>
    <row r="87" hidden="1" x14ac:dyDescent="0.35"/>
    <row r="88" hidden="1" x14ac:dyDescent="0.35"/>
    <row r="89" hidden="1" x14ac:dyDescent="0.35"/>
    <row r="90" hidden="1" x14ac:dyDescent="0.35"/>
    <row r="91" hidden="1" x14ac:dyDescent="0.35"/>
    <row r="92" hidden="1" x14ac:dyDescent="0.35"/>
    <row r="93" hidden="1" x14ac:dyDescent="0.35"/>
    <row r="94" hidden="1" x14ac:dyDescent="0.35"/>
    <row r="95" hidden="1" x14ac:dyDescent="0.35"/>
    <row r="96" hidden="1" x14ac:dyDescent="0.35"/>
    <row r="97" hidden="1" x14ac:dyDescent="0.35"/>
    <row r="98" hidden="1" x14ac:dyDescent="0.35"/>
    <row r="99" hidden="1" x14ac:dyDescent="0.35"/>
    <row r="100" hidden="1" x14ac:dyDescent="0.35"/>
    <row r="101" hidden="1" x14ac:dyDescent="0.35"/>
    <row r="102" hidden="1" x14ac:dyDescent="0.35"/>
    <row r="103" hidden="1" x14ac:dyDescent="0.35"/>
    <row r="104" hidden="1" x14ac:dyDescent="0.35"/>
    <row r="105" hidden="1" x14ac:dyDescent="0.35"/>
    <row r="106" hidden="1" x14ac:dyDescent="0.35"/>
    <row r="107" hidden="1" x14ac:dyDescent="0.35"/>
    <row r="108" hidden="1" x14ac:dyDescent="0.35"/>
    <row r="109" hidden="1" x14ac:dyDescent="0.35"/>
    <row r="110" hidden="1" x14ac:dyDescent="0.35"/>
    <row r="111" hidden="1" x14ac:dyDescent="0.35"/>
    <row r="112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spans="3:48" hidden="1" x14ac:dyDescent="0.35"/>
    <row r="178" spans="3:48" hidden="1" x14ac:dyDescent="0.35"/>
    <row r="179" spans="3:48" hidden="1" x14ac:dyDescent="0.35"/>
    <row r="180" spans="3:48" hidden="1" x14ac:dyDescent="0.35"/>
    <row r="181" spans="3:48" ht="15" thickBot="1" x14ac:dyDescent="0.4"/>
    <row r="182" spans="3:48" x14ac:dyDescent="0.35">
      <c r="C182" s="31" t="s">
        <v>108</v>
      </c>
      <c r="D182" s="29"/>
      <c r="E182" s="286">
        <f>'BC Summary US$'!B17</f>
        <v>2022</v>
      </c>
      <c r="F182" s="287"/>
      <c r="G182" s="287"/>
      <c r="H182" s="288"/>
      <c r="I182" s="275">
        <f>E182+1</f>
        <v>2023</v>
      </c>
      <c r="J182" s="276"/>
      <c r="K182" s="276"/>
      <c r="L182" s="277"/>
      <c r="M182" s="275">
        <f t="shared" ref="M182" si="12">I182+1</f>
        <v>2024</v>
      </c>
      <c r="N182" s="276"/>
      <c r="O182" s="276"/>
      <c r="P182" s="277"/>
      <c r="Q182" s="275">
        <f t="shared" ref="Q182" si="13">M182+1</f>
        <v>2025</v>
      </c>
      <c r="R182" s="276"/>
      <c r="S182" s="276"/>
      <c r="T182" s="277"/>
      <c r="U182" s="275">
        <f t="shared" ref="U182" si="14">Q182+1</f>
        <v>2026</v>
      </c>
      <c r="V182" s="276"/>
      <c r="W182" s="276"/>
      <c r="X182" s="277"/>
      <c r="Y182" s="275">
        <f t="shared" ref="Y182" si="15">U182+1</f>
        <v>2027</v>
      </c>
      <c r="Z182" s="276"/>
      <c r="AA182" s="276"/>
      <c r="AB182" s="277"/>
      <c r="AC182" s="275">
        <f t="shared" ref="AC182" si="16">Y182+1</f>
        <v>2028</v>
      </c>
      <c r="AD182" s="276"/>
      <c r="AE182" s="276"/>
      <c r="AF182" s="277"/>
      <c r="AG182" s="275">
        <f t="shared" ref="AG182" si="17">AC182+1</f>
        <v>2029</v>
      </c>
      <c r="AH182" s="276"/>
      <c r="AI182" s="276"/>
      <c r="AJ182" s="277"/>
      <c r="AK182" s="275">
        <f t="shared" ref="AK182" si="18">AG182+1</f>
        <v>2030</v>
      </c>
      <c r="AL182" s="276"/>
      <c r="AM182" s="276"/>
      <c r="AN182" s="277"/>
      <c r="AO182" s="275">
        <f t="shared" ref="AO182" si="19">AK182+1</f>
        <v>2031</v>
      </c>
      <c r="AP182" s="276"/>
      <c r="AQ182" s="276"/>
      <c r="AR182" s="277"/>
      <c r="AS182" s="275">
        <f t="shared" ref="AS182" si="20">AO182+1</f>
        <v>2032</v>
      </c>
      <c r="AT182" s="276"/>
      <c r="AU182" s="276"/>
      <c r="AV182" s="277"/>
    </row>
    <row r="183" spans="3:48" ht="15" thickBot="1" x14ac:dyDescent="0.4">
      <c r="C183" s="15"/>
      <c r="D183" s="26"/>
      <c r="E183" s="24" t="s">
        <v>88</v>
      </c>
      <c r="F183" s="16" t="s">
        <v>89</v>
      </c>
      <c r="G183" s="16" t="s">
        <v>90</v>
      </c>
      <c r="H183" s="17" t="s">
        <v>91</v>
      </c>
      <c r="I183" s="24" t="s">
        <v>88</v>
      </c>
      <c r="J183" s="16" t="s">
        <v>89</v>
      </c>
      <c r="K183" s="16" t="s">
        <v>90</v>
      </c>
      <c r="L183" s="17" t="s">
        <v>91</v>
      </c>
      <c r="M183" s="24" t="s">
        <v>88</v>
      </c>
      <c r="N183" s="16" t="s">
        <v>89</v>
      </c>
      <c r="O183" s="16" t="s">
        <v>90</v>
      </c>
      <c r="P183" s="17" t="s">
        <v>91</v>
      </c>
      <c r="Q183" s="24" t="s">
        <v>88</v>
      </c>
      <c r="R183" s="16" t="s">
        <v>89</v>
      </c>
      <c r="S183" s="16" t="s">
        <v>90</v>
      </c>
      <c r="T183" s="17" t="s">
        <v>91</v>
      </c>
      <c r="U183" s="24" t="s">
        <v>88</v>
      </c>
      <c r="V183" s="16" t="s">
        <v>89</v>
      </c>
      <c r="W183" s="16" t="s">
        <v>90</v>
      </c>
      <c r="X183" s="17" t="s">
        <v>91</v>
      </c>
      <c r="Y183" s="24" t="s">
        <v>88</v>
      </c>
      <c r="Z183" s="16" t="s">
        <v>89</v>
      </c>
      <c r="AA183" s="16" t="s">
        <v>90</v>
      </c>
      <c r="AB183" s="17" t="s">
        <v>91</v>
      </c>
      <c r="AC183" s="24" t="s">
        <v>88</v>
      </c>
      <c r="AD183" s="16" t="s">
        <v>89</v>
      </c>
      <c r="AE183" s="16" t="s">
        <v>90</v>
      </c>
      <c r="AF183" s="17" t="s">
        <v>91</v>
      </c>
      <c r="AG183" s="16" t="s">
        <v>88</v>
      </c>
      <c r="AH183" s="16" t="s">
        <v>89</v>
      </c>
      <c r="AI183" s="16" t="s">
        <v>90</v>
      </c>
      <c r="AJ183" s="17" t="s">
        <v>91</v>
      </c>
      <c r="AK183" s="24" t="s">
        <v>88</v>
      </c>
      <c r="AL183" s="16" t="s">
        <v>89</v>
      </c>
      <c r="AM183" s="16" t="s">
        <v>90</v>
      </c>
      <c r="AN183" s="17" t="s">
        <v>91</v>
      </c>
      <c r="AO183" s="24" t="s">
        <v>88</v>
      </c>
      <c r="AP183" s="16" t="s">
        <v>89</v>
      </c>
      <c r="AQ183" s="16" t="s">
        <v>90</v>
      </c>
      <c r="AR183" s="17" t="s">
        <v>91</v>
      </c>
      <c r="AS183" s="24" t="s">
        <v>88</v>
      </c>
      <c r="AT183" s="16" t="s">
        <v>89</v>
      </c>
      <c r="AU183" s="16" t="s">
        <v>90</v>
      </c>
      <c r="AV183" s="17" t="s">
        <v>91</v>
      </c>
    </row>
    <row r="184" spans="3:48" x14ac:dyDescent="0.35">
      <c r="C184" s="27"/>
      <c r="D184" s="29"/>
      <c r="E184" s="38"/>
      <c r="F184" s="38"/>
      <c r="G184" s="38"/>
      <c r="H184" s="67"/>
      <c r="I184" s="38"/>
      <c r="J184" s="38"/>
      <c r="K184" s="38"/>
      <c r="L184" s="67"/>
      <c r="M184" s="38"/>
      <c r="N184" s="38"/>
      <c r="O184" s="38"/>
      <c r="P184" s="67"/>
      <c r="Q184" s="38"/>
      <c r="R184" s="38"/>
      <c r="S184" s="38"/>
      <c r="T184" s="67"/>
      <c r="U184" s="38"/>
      <c r="V184" s="38"/>
      <c r="W184" s="38"/>
      <c r="X184" s="67"/>
      <c r="Y184" s="38"/>
      <c r="Z184" s="38"/>
      <c r="AA184" s="38"/>
      <c r="AB184" s="67"/>
      <c r="AC184" s="38"/>
      <c r="AD184" s="38"/>
      <c r="AE184" s="38"/>
      <c r="AF184" s="67"/>
      <c r="AG184" s="38"/>
      <c r="AH184" s="38"/>
      <c r="AI184" s="38"/>
      <c r="AJ184" s="67"/>
      <c r="AK184" s="38"/>
      <c r="AL184" s="38"/>
      <c r="AM184" s="38"/>
      <c r="AN184" s="67"/>
      <c r="AO184" s="38"/>
      <c r="AP184" s="38"/>
      <c r="AQ184" s="38"/>
      <c r="AR184" s="67"/>
      <c r="AS184" s="38"/>
      <c r="AT184" s="38"/>
      <c r="AU184" s="38"/>
      <c r="AV184" s="67"/>
    </row>
    <row r="185" spans="3:48" x14ac:dyDescent="0.35">
      <c r="C185" s="32" t="s">
        <v>31</v>
      </c>
      <c r="D185" s="25"/>
      <c r="E185" s="82">
        <f>SUMIFS(E$16:E$180,$C$16:$C$180,"direct incremental",$D$16:$D$180,"Actual revenue")</f>
        <v>0</v>
      </c>
      <c r="F185" s="82">
        <f t="shared" ref="F185:AV185" si="21">SUMIFS(F$16:F$180,$C$16:$C$180,"direct incremental",$D$16:$D$180,"Actual revenue")</f>
        <v>0</v>
      </c>
      <c r="G185" s="82">
        <f t="shared" si="21"/>
        <v>0</v>
      </c>
      <c r="H185" s="83">
        <f t="shared" si="21"/>
        <v>0</v>
      </c>
      <c r="I185" s="82">
        <f t="shared" si="21"/>
        <v>0</v>
      </c>
      <c r="J185" s="82">
        <f t="shared" si="21"/>
        <v>0</v>
      </c>
      <c r="K185" s="82">
        <f t="shared" si="21"/>
        <v>0</v>
      </c>
      <c r="L185" s="83">
        <f t="shared" si="21"/>
        <v>0</v>
      </c>
      <c r="M185" s="82">
        <f t="shared" si="21"/>
        <v>0</v>
      </c>
      <c r="N185" s="82">
        <f t="shared" si="21"/>
        <v>0</v>
      </c>
      <c r="O185" s="82">
        <f t="shared" si="21"/>
        <v>0</v>
      </c>
      <c r="P185" s="83">
        <f t="shared" si="21"/>
        <v>0</v>
      </c>
      <c r="Q185" s="82">
        <f t="shared" si="21"/>
        <v>0</v>
      </c>
      <c r="R185" s="82">
        <f t="shared" si="21"/>
        <v>0</v>
      </c>
      <c r="S185" s="82">
        <f t="shared" si="21"/>
        <v>0</v>
      </c>
      <c r="T185" s="83">
        <f t="shared" si="21"/>
        <v>0</v>
      </c>
      <c r="U185" s="82">
        <f t="shared" si="21"/>
        <v>0</v>
      </c>
      <c r="V185" s="82">
        <f t="shared" si="21"/>
        <v>0</v>
      </c>
      <c r="W185" s="82">
        <f t="shared" si="21"/>
        <v>0</v>
      </c>
      <c r="X185" s="83">
        <f t="shared" si="21"/>
        <v>0</v>
      </c>
      <c r="Y185" s="82">
        <f t="shared" si="21"/>
        <v>0</v>
      </c>
      <c r="Z185" s="82">
        <f t="shared" si="21"/>
        <v>0</v>
      </c>
      <c r="AA185" s="82">
        <f t="shared" si="21"/>
        <v>0</v>
      </c>
      <c r="AB185" s="83">
        <f t="shared" si="21"/>
        <v>0</v>
      </c>
      <c r="AC185" s="82">
        <f t="shared" si="21"/>
        <v>0</v>
      </c>
      <c r="AD185" s="82">
        <f t="shared" si="21"/>
        <v>0</v>
      </c>
      <c r="AE185" s="82">
        <f t="shared" si="21"/>
        <v>0</v>
      </c>
      <c r="AF185" s="83">
        <f t="shared" si="21"/>
        <v>0</v>
      </c>
      <c r="AG185" s="82">
        <f t="shared" si="21"/>
        <v>0</v>
      </c>
      <c r="AH185" s="82">
        <f t="shared" si="21"/>
        <v>0</v>
      </c>
      <c r="AI185" s="82">
        <f t="shared" si="21"/>
        <v>0</v>
      </c>
      <c r="AJ185" s="83">
        <f t="shared" si="21"/>
        <v>0</v>
      </c>
      <c r="AK185" s="82">
        <f t="shared" si="21"/>
        <v>0</v>
      </c>
      <c r="AL185" s="82">
        <f t="shared" si="21"/>
        <v>0</v>
      </c>
      <c r="AM185" s="82">
        <f t="shared" si="21"/>
        <v>0</v>
      </c>
      <c r="AN185" s="83">
        <f t="shared" si="21"/>
        <v>0</v>
      </c>
      <c r="AO185" s="82">
        <f t="shared" si="21"/>
        <v>0</v>
      </c>
      <c r="AP185" s="82">
        <f t="shared" si="21"/>
        <v>0</v>
      </c>
      <c r="AQ185" s="82">
        <f t="shared" si="21"/>
        <v>0</v>
      </c>
      <c r="AR185" s="83">
        <f t="shared" si="21"/>
        <v>0</v>
      </c>
      <c r="AS185" s="82">
        <f t="shared" si="21"/>
        <v>0</v>
      </c>
      <c r="AT185" s="82">
        <f t="shared" si="21"/>
        <v>0</v>
      </c>
      <c r="AU185" s="82">
        <f t="shared" si="21"/>
        <v>0</v>
      </c>
      <c r="AV185" s="83">
        <f t="shared" si="21"/>
        <v>0</v>
      </c>
    </row>
    <row r="186" spans="3:48" x14ac:dyDescent="0.35">
      <c r="C186" s="32" t="s">
        <v>32</v>
      </c>
      <c r="E186" s="81">
        <f>SUMIFS(E$16:E$180,$C$16:$C$180,"direct maintaining",$D$16:$D$180,"Actual revenue")</f>
        <v>0</v>
      </c>
      <c r="F186" s="82">
        <f t="shared" ref="F186:AV186" si="22">SUMIFS(F$16:F$180,$C$16:$C$180,"direct maintaining",$D$16:$D$180,"Actual revenue")</f>
        <v>0</v>
      </c>
      <c r="G186" s="82">
        <f t="shared" si="22"/>
        <v>0</v>
      </c>
      <c r="H186" s="83">
        <f t="shared" si="22"/>
        <v>0</v>
      </c>
      <c r="I186" s="82">
        <f t="shared" si="22"/>
        <v>0</v>
      </c>
      <c r="J186" s="82">
        <f t="shared" si="22"/>
        <v>0</v>
      </c>
      <c r="K186" s="82">
        <f t="shared" si="22"/>
        <v>0</v>
      </c>
      <c r="L186" s="83">
        <f t="shared" si="22"/>
        <v>0</v>
      </c>
      <c r="M186" s="82">
        <f t="shared" si="22"/>
        <v>0</v>
      </c>
      <c r="N186" s="82">
        <f t="shared" si="22"/>
        <v>0</v>
      </c>
      <c r="O186" s="82">
        <f t="shared" si="22"/>
        <v>0</v>
      </c>
      <c r="P186" s="83">
        <f t="shared" si="22"/>
        <v>0</v>
      </c>
      <c r="Q186" s="82">
        <f t="shared" si="22"/>
        <v>0</v>
      </c>
      <c r="R186" s="82">
        <f t="shared" si="22"/>
        <v>0</v>
      </c>
      <c r="S186" s="82">
        <f t="shared" si="22"/>
        <v>0</v>
      </c>
      <c r="T186" s="83">
        <f t="shared" si="22"/>
        <v>0</v>
      </c>
      <c r="U186" s="82">
        <f t="shared" si="22"/>
        <v>0</v>
      </c>
      <c r="V186" s="82">
        <f t="shared" si="22"/>
        <v>0</v>
      </c>
      <c r="W186" s="82">
        <f t="shared" si="22"/>
        <v>0</v>
      </c>
      <c r="X186" s="83">
        <f t="shared" si="22"/>
        <v>0</v>
      </c>
      <c r="Y186" s="82">
        <f t="shared" si="22"/>
        <v>0</v>
      </c>
      <c r="Z186" s="82">
        <f t="shared" si="22"/>
        <v>0</v>
      </c>
      <c r="AA186" s="82">
        <f t="shared" si="22"/>
        <v>0</v>
      </c>
      <c r="AB186" s="83">
        <f t="shared" si="22"/>
        <v>0</v>
      </c>
      <c r="AC186" s="82">
        <f t="shared" si="22"/>
        <v>0</v>
      </c>
      <c r="AD186" s="82">
        <f t="shared" si="22"/>
        <v>0</v>
      </c>
      <c r="AE186" s="82">
        <f t="shared" si="22"/>
        <v>0</v>
      </c>
      <c r="AF186" s="83">
        <f t="shared" si="22"/>
        <v>0</v>
      </c>
      <c r="AG186" s="82">
        <f t="shared" si="22"/>
        <v>0</v>
      </c>
      <c r="AH186" s="82">
        <f t="shared" si="22"/>
        <v>0</v>
      </c>
      <c r="AI186" s="82">
        <f t="shared" si="22"/>
        <v>0</v>
      </c>
      <c r="AJ186" s="83">
        <f t="shared" si="22"/>
        <v>0</v>
      </c>
      <c r="AK186" s="82">
        <f t="shared" si="22"/>
        <v>0</v>
      </c>
      <c r="AL186" s="82">
        <f t="shared" si="22"/>
        <v>0</v>
      </c>
      <c r="AM186" s="82">
        <f t="shared" si="22"/>
        <v>0</v>
      </c>
      <c r="AN186" s="83">
        <f t="shared" si="22"/>
        <v>0</v>
      </c>
      <c r="AO186" s="82">
        <f t="shared" si="22"/>
        <v>0</v>
      </c>
      <c r="AP186" s="82">
        <f t="shared" si="22"/>
        <v>0</v>
      </c>
      <c r="AQ186" s="82">
        <f t="shared" si="22"/>
        <v>0</v>
      </c>
      <c r="AR186" s="83">
        <f t="shared" si="22"/>
        <v>0</v>
      </c>
      <c r="AS186" s="82">
        <f t="shared" si="22"/>
        <v>0</v>
      </c>
      <c r="AT186" s="82">
        <f t="shared" si="22"/>
        <v>0</v>
      </c>
      <c r="AU186" s="82">
        <f t="shared" si="22"/>
        <v>0</v>
      </c>
      <c r="AV186" s="83">
        <f t="shared" si="22"/>
        <v>0</v>
      </c>
    </row>
    <row r="187" spans="3:48" x14ac:dyDescent="0.35">
      <c r="C187" s="32" t="s">
        <v>34</v>
      </c>
      <c r="E187" s="81">
        <f>SUMIFS(E$16:E$180,$C$16:$C$180,"indirect incremental",$D$16:$D$180,"Actual revenue")</f>
        <v>0</v>
      </c>
      <c r="F187" s="82">
        <f t="shared" ref="F187:AV187" si="23">SUMIFS(F$16:F$180,$C$16:$C$180,"indirect incremental",$D$16:$D$180,"Actual revenue")</f>
        <v>0</v>
      </c>
      <c r="G187" s="82">
        <f t="shared" si="23"/>
        <v>0</v>
      </c>
      <c r="H187" s="83">
        <f t="shared" si="23"/>
        <v>0</v>
      </c>
      <c r="I187" s="82">
        <f t="shared" si="23"/>
        <v>0</v>
      </c>
      <c r="J187" s="82">
        <f t="shared" si="23"/>
        <v>0</v>
      </c>
      <c r="K187" s="82">
        <f t="shared" si="23"/>
        <v>0</v>
      </c>
      <c r="L187" s="83">
        <f t="shared" si="23"/>
        <v>0</v>
      </c>
      <c r="M187" s="82">
        <f t="shared" si="23"/>
        <v>0</v>
      </c>
      <c r="N187" s="82">
        <f t="shared" si="23"/>
        <v>0</v>
      </c>
      <c r="O187" s="82">
        <f t="shared" si="23"/>
        <v>0</v>
      </c>
      <c r="P187" s="83">
        <f t="shared" si="23"/>
        <v>0</v>
      </c>
      <c r="Q187" s="82">
        <f t="shared" si="23"/>
        <v>0</v>
      </c>
      <c r="R187" s="82">
        <f t="shared" si="23"/>
        <v>0</v>
      </c>
      <c r="S187" s="82">
        <f t="shared" si="23"/>
        <v>0</v>
      </c>
      <c r="T187" s="83">
        <f t="shared" si="23"/>
        <v>0</v>
      </c>
      <c r="U187" s="82">
        <f t="shared" si="23"/>
        <v>0</v>
      </c>
      <c r="V187" s="82">
        <f t="shared" si="23"/>
        <v>0</v>
      </c>
      <c r="W187" s="82">
        <f t="shared" si="23"/>
        <v>0</v>
      </c>
      <c r="X187" s="83">
        <f t="shared" si="23"/>
        <v>0</v>
      </c>
      <c r="Y187" s="82">
        <f t="shared" si="23"/>
        <v>0</v>
      </c>
      <c r="Z187" s="82">
        <f t="shared" si="23"/>
        <v>0</v>
      </c>
      <c r="AA187" s="82">
        <f t="shared" si="23"/>
        <v>0</v>
      </c>
      <c r="AB187" s="83">
        <f t="shared" si="23"/>
        <v>0</v>
      </c>
      <c r="AC187" s="82">
        <f t="shared" si="23"/>
        <v>0</v>
      </c>
      <c r="AD187" s="82">
        <f t="shared" si="23"/>
        <v>0</v>
      </c>
      <c r="AE187" s="82">
        <f t="shared" si="23"/>
        <v>0</v>
      </c>
      <c r="AF187" s="83">
        <f t="shared" si="23"/>
        <v>0</v>
      </c>
      <c r="AG187" s="82">
        <f t="shared" si="23"/>
        <v>0</v>
      </c>
      <c r="AH187" s="82">
        <f t="shared" si="23"/>
        <v>0</v>
      </c>
      <c r="AI187" s="82">
        <f t="shared" si="23"/>
        <v>0</v>
      </c>
      <c r="AJ187" s="83">
        <f t="shared" si="23"/>
        <v>0</v>
      </c>
      <c r="AK187" s="82">
        <f t="shared" si="23"/>
        <v>0</v>
      </c>
      <c r="AL187" s="82">
        <f t="shared" si="23"/>
        <v>0</v>
      </c>
      <c r="AM187" s="82">
        <f t="shared" si="23"/>
        <v>0</v>
      </c>
      <c r="AN187" s="83">
        <f t="shared" si="23"/>
        <v>0</v>
      </c>
      <c r="AO187" s="82">
        <f t="shared" si="23"/>
        <v>0</v>
      </c>
      <c r="AP187" s="82">
        <f t="shared" si="23"/>
        <v>0</v>
      </c>
      <c r="AQ187" s="82">
        <f t="shared" si="23"/>
        <v>0</v>
      </c>
      <c r="AR187" s="83">
        <f t="shared" si="23"/>
        <v>0</v>
      </c>
      <c r="AS187" s="82">
        <f t="shared" si="23"/>
        <v>0</v>
      </c>
      <c r="AT187" s="82">
        <f t="shared" si="23"/>
        <v>0</v>
      </c>
      <c r="AU187" s="82">
        <f t="shared" si="23"/>
        <v>0</v>
      </c>
      <c r="AV187" s="83">
        <f t="shared" si="23"/>
        <v>0</v>
      </c>
    </row>
    <row r="188" spans="3:48" x14ac:dyDescent="0.35">
      <c r="C188" s="32" t="s">
        <v>35</v>
      </c>
      <c r="E188" s="81">
        <f>SUMIFS(E$16:E$180,$C$16:$C$180,"indirect maintaining",$D$16:$D$180,"Actual revenue")</f>
        <v>0</v>
      </c>
      <c r="F188" s="82">
        <f t="shared" ref="F188:AV188" si="24">SUMIFS(F$16:F$180,$C$16:$C$180,"indirect maintaining",$D$16:$D$180,"Actual revenue")</f>
        <v>0</v>
      </c>
      <c r="G188" s="82">
        <f t="shared" si="24"/>
        <v>0</v>
      </c>
      <c r="H188" s="83">
        <f t="shared" si="24"/>
        <v>0</v>
      </c>
      <c r="I188" s="82">
        <f t="shared" si="24"/>
        <v>0</v>
      </c>
      <c r="J188" s="82">
        <f t="shared" si="24"/>
        <v>0</v>
      </c>
      <c r="K188" s="82">
        <f t="shared" si="24"/>
        <v>0</v>
      </c>
      <c r="L188" s="83">
        <f t="shared" si="24"/>
        <v>0</v>
      </c>
      <c r="M188" s="82">
        <f t="shared" si="24"/>
        <v>0</v>
      </c>
      <c r="N188" s="82">
        <f t="shared" si="24"/>
        <v>0</v>
      </c>
      <c r="O188" s="82">
        <f t="shared" si="24"/>
        <v>0</v>
      </c>
      <c r="P188" s="83">
        <f t="shared" si="24"/>
        <v>0</v>
      </c>
      <c r="Q188" s="82">
        <f t="shared" si="24"/>
        <v>0</v>
      </c>
      <c r="R188" s="82">
        <f t="shared" si="24"/>
        <v>0</v>
      </c>
      <c r="S188" s="82">
        <f t="shared" si="24"/>
        <v>0</v>
      </c>
      <c r="T188" s="83">
        <f t="shared" si="24"/>
        <v>0</v>
      </c>
      <c r="U188" s="82">
        <f t="shared" si="24"/>
        <v>0</v>
      </c>
      <c r="V188" s="82">
        <f t="shared" si="24"/>
        <v>0</v>
      </c>
      <c r="W188" s="82">
        <f t="shared" si="24"/>
        <v>0</v>
      </c>
      <c r="X188" s="83">
        <f t="shared" si="24"/>
        <v>0</v>
      </c>
      <c r="Y188" s="82">
        <f t="shared" si="24"/>
        <v>0</v>
      </c>
      <c r="Z188" s="82">
        <f t="shared" si="24"/>
        <v>0</v>
      </c>
      <c r="AA188" s="82">
        <f t="shared" si="24"/>
        <v>0</v>
      </c>
      <c r="AB188" s="83">
        <f t="shared" si="24"/>
        <v>0</v>
      </c>
      <c r="AC188" s="82">
        <f t="shared" si="24"/>
        <v>0</v>
      </c>
      <c r="AD188" s="82">
        <f t="shared" si="24"/>
        <v>0</v>
      </c>
      <c r="AE188" s="82">
        <f t="shared" si="24"/>
        <v>0</v>
      </c>
      <c r="AF188" s="83">
        <f t="shared" si="24"/>
        <v>0</v>
      </c>
      <c r="AG188" s="82">
        <f t="shared" si="24"/>
        <v>0</v>
      </c>
      <c r="AH188" s="82">
        <f t="shared" si="24"/>
        <v>0</v>
      </c>
      <c r="AI188" s="82">
        <f t="shared" si="24"/>
        <v>0</v>
      </c>
      <c r="AJ188" s="83">
        <f t="shared" si="24"/>
        <v>0</v>
      </c>
      <c r="AK188" s="82">
        <f t="shared" si="24"/>
        <v>0</v>
      </c>
      <c r="AL188" s="82">
        <f t="shared" si="24"/>
        <v>0</v>
      </c>
      <c r="AM188" s="82">
        <f t="shared" si="24"/>
        <v>0</v>
      </c>
      <c r="AN188" s="83">
        <f t="shared" si="24"/>
        <v>0</v>
      </c>
      <c r="AO188" s="82">
        <f t="shared" si="24"/>
        <v>0</v>
      </c>
      <c r="AP188" s="82">
        <f t="shared" si="24"/>
        <v>0</v>
      </c>
      <c r="AQ188" s="82">
        <f t="shared" si="24"/>
        <v>0</v>
      </c>
      <c r="AR188" s="83">
        <f t="shared" si="24"/>
        <v>0</v>
      </c>
      <c r="AS188" s="82">
        <f t="shared" si="24"/>
        <v>0</v>
      </c>
      <c r="AT188" s="82">
        <f t="shared" si="24"/>
        <v>0</v>
      </c>
      <c r="AU188" s="82">
        <f t="shared" si="24"/>
        <v>0</v>
      </c>
      <c r="AV188" s="83">
        <f t="shared" si="24"/>
        <v>0</v>
      </c>
    </row>
    <row r="189" spans="3:48" x14ac:dyDescent="0.35">
      <c r="C189" s="32" t="s">
        <v>36</v>
      </c>
      <c r="E189" s="81">
        <f>-SUMIFS(E$16:E$180,$C$16:$C$180,"indirect cannibalization",$D$16:$D$180,"Actual revenue")</f>
        <v>0</v>
      </c>
      <c r="F189" s="82">
        <f t="shared" ref="F189:AV189" si="25">-SUMIFS(F$16:F$180,$C$16:$C$180,"indirect cannibalization",$D$16:$D$180,"Actual revenue")</f>
        <v>0</v>
      </c>
      <c r="G189" s="82">
        <f t="shared" si="25"/>
        <v>0</v>
      </c>
      <c r="H189" s="83">
        <f t="shared" si="25"/>
        <v>0</v>
      </c>
      <c r="I189" s="82">
        <f t="shared" si="25"/>
        <v>0</v>
      </c>
      <c r="J189" s="82">
        <f t="shared" si="25"/>
        <v>0</v>
      </c>
      <c r="K189" s="82">
        <f t="shared" si="25"/>
        <v>0</v>
      </c>
      <c r="L189" s="83">
        <f t="shared" si="25"/>
        <v>0</v>
      </c>
      <c r="M189" s="82">
        <f t="shared" si="25"/>
        <v>0</v>
      </c>
      <c r="N189" s="82">
        <f t="shared" si="25"/>
        <v>0</v>
      </c>
      <c r="O189" s="82">
        <f t="shared" si="25"/>
        <v>0</v>
      </c>
      <c r="P189" s="83">
        <f t="shared" si="25"/>
        <v>0</v>
      </c>
      <c r="Q189" s="82">
        <f t="shared" si="25"/>
        <v>0</v>
      </c>
      <c r="R189" s="82">
        <f t="shared" si="25"/>
        <v>0</v>
      </c>
      <c r="S189" s="82">
        <f t="shared" si="25"/>
        <v>0</v>
      </c>
      <c r="T189" s="83">
        <f t="shared" si="25"/>
        <v>0</v>
      </c>
      <c r="U189" s="82">
        <f t="shared" si="25"/>
        <v>0</v>
      </c>
      <c r="V189" s="82">
        <f t="shared" si="25"/>
        <v>0</v>
      </c>
      <c r="W189" s="82">
        <f t="shared" si="25"/>
        <v>0</v>
      </c>
      <c r="X189" s="83">
        <f t="shared" si="25"/>
        <v>0</v>
      </c>
      <c r="Y189" s="82">
        <f t="shared" si="25"/>
        <v>0</v>
      </c>
      <c r="Z189" s="82">
        <f t="shared" si="25"/>
        <v>0</v>
      </c>
      <c r="AA189" s="82">
        <f t="shared" si="25"/>
        <v>0</v>
      </c>
      <c r="AB189" s="83">
        <f t="shared" si="25"/>
        <v>0</v>
      </c>
      <c r="AC189" s="82">
        <f t="shared" si="25"/>
        <v>0</v>
      </c>
      <c r="AD189" s="82">
        <f t="shared" si="25"/>
        <v>0</v>
      </c>
      <c r="AE189" s="82">
        <f t="shared" si="25"/>
        <v>0</v>
      </c>
      <c r="AF189" s="83">
        <f t="shared" si="25"/>
        <v>0</v>
      </c>
      <c r="AG189" s="82">
        <f t="shared" si="25"/>
        <v>0</v>
      </c>
      <c r="AH189" s="82">
        <f t="shared" si="25"/>
        <v>0</v>
      </c>
      <c r="AI189" s="82">
        <f t="shared" si="25"/>
        <v>0</v>
      </c>
      <c r="AJ189" s="83">
        <f t="shared" si="25"/>
        <v>0</v>
      </c>
      <c r="AK189" s="82">
        <f t="shared" si="25"/>
        <v>0</v>
      </c>
      <c r="AL189" s="82">
        <f t="shared" si="25"/>
        <v>0</v>
      </c>
      <c r="AM189" s="82">
        <f t="shared" si="25"/>
        <v>0</v>
      </c>
      <c r="AN189" s="83">
        <f t="shared" si="25"/>
        <v>0</v>
      </c>
      <c r="AO189" s="82">
        <f t="shared" si="25"/>
        <v>0</v>
      </c>
      <c r="AP189" s="82">
        <f t="shared" si="25"/>
        <v>0</v>
      </c>
      <c r="AQ189" s="82">
        <f t="shared" si="25"/>
        <v>0</v>
      </c>
      <c r="AR189" s="83">
        <f t="shared" si="25"/>
        <v>0</v>
      </c>
      <c r="AS189" s="82">
        <f t="shared" si="25"/>
        <v>0</v>
      </c>
      <c r="AT189" s="82">
        <f t="shared" si="25"/>
        <v>0</v>
      </c>
      <c r="AU189" s="82">
        <f t="shared" si="25"/>
        <v>0</v>
      </c>
      <c r="AV189" s="83">
        <f t="shared" si="25"/>
        <v>0</v>
      </c>
    </row>
    <row r="190" spans="3:48" x14ac:dyDescent="0.35">
      <c r="C190" s="32" t="s">
        <v>109</v>
      </c>
      <c r="E190" s="84"/>
      <c r="F190" s="85"/>
      <c r="G190" s="85"/>
      <c r="H190" s="86"/>
      <c r="I190" s="85"/>
      <c r="J190" s="85"/>
      <c r="K190" s="85"/>
      <c r="L190" s="86"/>
      <c r="M190" s="85"/>
      <c r="N190" s="85"/>
      <c r="O190" s="85"/>
      <c r="P190" s="86"/>
      <c r="Q190" s="85"/>
      <c r="R190" s="85"/>
      <c r="S190" s="85"/>
      <c r="T190" s="86"/>
      <c r="U190" s="85"/>
      <c r="V190" s="85"/>
      <c r="W190" s="85"/>
      <c r="X190" s="86"/>
      <c r="Y190" s="85"/>
      <c r="Z190" s="85"/>
      <c r="AA190" s="85"/>
      <c r="AB190" s="86"/>
      <c r="AC190" s="85"/>
      <c r="AD190" s="85"/>
      <c r="AE190" s="85"/>
      <c r="AF190" s="86"/>
      <c r="AG190" s="85"/>
      <c r="AH190" s="85"/>
      <c r="AI190" s="85"/>
      <c r="AJ190" s="86"/>
      <c r="AK190" s="85"/>
      <c r="AL190" s="85"/>
      <c r="AM190" s="85"/>
      <c r="AN190" s="86"/>
      <c r="AO190" s="85"/>
      <c r="AP190" s="85"/>
      <c r="AQ190" s="85"/>
      <c r="AR190" s="86"/>
      <c r="AS190" s="85"/>
      <c r="AT190" s="85"/>
      <c r="AU190" s="85"/>
      <c r="AV190" s="86"/>
    </row>
    <row r="191" spans="3:48" x14ac:dyDescent="0.35">
      <c r="C191" s="10"/>
      <c r="E191" s="81"/>
      <c r="F191" s="82"/>
      <c r="G191" s="82"/>
      <c r="H191" s="83"/>
      <c r="I191" s="82"/>
      <c r="J191" s="82"/>
      <c r="K191" s="82"/>
      <c r="L191" s="83"/>
      <c r="M191" s="82"/>
      <c r="N191" s="82"/>
      <c r="O191" s="82"/>
      <c r="P191" s="83"/>
      <c r="Q191" s="82"/>
      <c r="R191" s="82"/>
      <c r="S191" s="82"/>
      <c r="T191" s="83"/>
      <c r="U191" s="82"/>
      <c r="V191" s="82"/>
      <c r="W191" s="82"/>
      <c r="X191" s="83"/>
      <c r="Y191" s="82"/>
      <c r="Z191" s="82"/>
      <c r="AA191" s="82"/>
      <c r="AB191" s="83"/>
      <c r="AC191" s="82"/>
      <c r="AD191" s="82"/>
      <c r="AE191" s="82"/>
      <c r="AF191" s="83"/>
      <c r="AG191" s="82"/>
      <c r="AH191" s="82"/>
      <c r="AI191" s="82"/>
      <c r="AJ191" s="83"/>
      <c r="AK191" s="82"/>
      <c r="AL191" s="82"/>
      <c r="AM191" s="82"/>
      <c r="AN191" s="83"/>
      <c r="AO191" s="82"/>
      <c r="AP191" s="82"/>
      <c r="AQ191" s="82"/>
      <c r="AR191" s="83"/>
      <c r="AS191" s="82"/>
      <c r="AT191" s="82"/>
      <c r="AU191" s="82"/>
      <c r="AV191" s="83"/>
    </row>
    <row r="192" spans="3:48" ht="15" thickBot="1" x14ac:dyDescent="0.4">
      <c r="C192" s="30" t="s">
        <v>110</v>
      </c>
      <c r="D192" s="9"/>
      <c r="E192" s="87">
        <f>SUMIF($D$16:$D$180,"Actual COS",E$16:E$180)</f>
        <v>0</v>
      </c>
      <c r="F192" s="88">
        <f t="shared" ref="F192:AV192" si="26">SUMIF($D$16:$D$180,"Actual COS",F$16:F$180)</f>
        <v>0</v>
      </c>
      <c r="G192" s="88">
        <f t="shared" si="26"/>
        <v>0</v>
      </c>
      <c r="H192" s="89">
        <f t="shared" si="26"/>
        <v>0</v>
      </c>
      <c r="I192" s="88">
        <f t="shared" si="26"/>
        <v>0</v>
      </c>
      <c r="J192" s="88">
        <f t="shared" si="26"/>
        <v>0</v>
      </c>
      <c r="K192" s="88">
        <f t="shared" si="26"/>
        <v>0</v>
      </c>
      <c r="L192" s="89">
        <f t="shared" si="26"/>
        <v>0</v>
      </c>
      <c r="M192" s="88">
        <f t="shared" si="26"/>
        <v>0</v>
      </c>
      <c r="N192" s="88">
        <f t="shared" si="26"/>
        <v>0</v>
      </c>
      <c r="O192" s="88">
        <f t="shared" si="26"/>
        <v>0</v>
      </c>
      <c r="P192" s="89">
        <f t="shared" si="26"/>
        <v>0</v>
      </c>
      <c r="Q192" s="88">
        <f t="shared" si="26"/>
        <v>0</v>
      </c>
      <c r="R192" s="88">
        <f t="shared" si="26"/>
        <v>0</v>
      </c>
      <c r="S192" s="88">
        <f t="shared" si="26"/>
        <v>0</v>
      </c>
      <c r="T192" s="89">
        <f t="shared" si="26"/>
        <v>0</v>
      </c>
      <c r="U192" s="88">
        <f t="shared" si="26"/>
        <v>0</v>
      </c>
      <c r="V192" s="88">
        <f t="shared" si="26"/>
        <v>0</v>
      </c>
      <c r="W192" s="88">
        <f t="shared" si="26"/>
        <v>0</v>
      </c>
      <c r="X192" s="89">
        <f t="shared" si="26"/>
        <v>0</v>
      </c>
      <c r="Y192" s="88">
        <f t="shared" si="26"/>
        <v>0</v>
      </c>
      <c r="Z192" s="88">
        <f t="shared" si="26"/>
        <v>0</v>
      </c>
      <c r="AA192" s="88">
        <f t="shared" si="26"/>
        <v>0</v>
      </c>
      <c r="AB192" s="89">
        <f t="shared" si="26"/>
        <v>0</v>
      </c>
      <c r="AC192" s="88">
        <f t="shared" si="26"/>
        <v>0</v>
      </c>
      <c r="AD192" s="88">
        <f t="shared" si="26"/>
        <v>0</v>
      </c>
      <c r="AE192" s="88">
        <f t="shared" si="26"/>
        <v>0</v>
      </c>
      <c r="AF192" s="89">
        <f t="shared" si="26"/>
        <v>0</v>
      </c>
      <c r="AG192" s="88">
        <f t="shared" si="26"/>
        <v>0</v>
      </c>
      <c r="AH192" s="88">
        <f t="shared" si="26"/>
        <v>0</v>
      </c>
      <c r="AI192" s="88">
        <f t="shared" si="26"/>
        <v>0</v>
      </c>
      <c r="AJ192" s="89">
        <f t="shared" si="26"/>
        <v>0</v>
      </c>
      <c r="AK192" s="88">
        <f t="shared" si="26"/>
        <v>0</v>
      </c>
      <c r="AL192" s="88">
        <f t="shared" si="26"/>
        <v>0</v>
      </c>
      <c r="AM192" s="88">
        <f t="shared" si="26"/>
        <v>0</v>
      </c>
      <c r="AN192" s="89">
        <f t="shared" si="26"/>
        <v>0</v>
      </c>
      <c r="AO192" s="88">
        <f t="shared" si="26"/>
        <v>0</v>
      </c>
      <c r="AP192" s="88">
        <f t="shared" si="26"/>
        <v>0</v>
      </c>
      <c r="AQ192" s="88">
        <f t="shared" si="26"/>
        <v>0</v>
      </c>
      <c r="AR192" s="89">
        <f t="shared" si="26"/>
        <v>0</v>
      </c>
      <c r="AS192" s="88">
        <f t="shared" si="26"/>
        <v>0</v>
      </c>
      <c r="AT192" s="88">
        <f t="shared" si="26"/>
        <v>0</v>
      </c>
      <c r="AU192" s="88">
        <f t="shared" si="26"/>
        <v>0</v>
      </c>
      <c r="AV192" s="89">
        <f t="shared" si="26"/>
        <v>0</v>
      </c>
    </row>
    <row r="193" spans="3:48" ht="15" thickBot="1" x14ac:dyDescent="0.4"/>
    <row r="194" spans="3:48" x14ac:dyDescent="0.35">
      <c r="C194" s="31" t="s">
        <v>111</v>
      </c>
      <c r="D194" s="29"/>
      <c r="E194" s="286">
        <f>'BC Summary US$'!B17</f>
        <v>2022</v>
      </c>
      <c r="F194" s="287"/>
      <c r="G194" s="287"/>
      <c r="H194" s="288"/>
      <c r="I194" s="275">
        <f>E194+1</f>
        <v>2023</v>
      </c>
      <c r="J194" s="276"/>
      <c r="K194" s="276"/>
      <c r="L194" s="277"/>
      <c r="M194" s="275">
        <f t="shared" ref="M194" si="27">I194+1</f>
        <v>2024</v>
      </c>
      <c r="N194" s="276"/>
      <c r="O194" s="276"/>
      <c r="P194" s="277"/>
      <c r="Q194" s="275">
        <f t="shared" ref="Q194" si="28">M194+1</f>
        <v>2025</v>
      </c>
      <c r="R194" s="276"/>
      <c r="S194" s="276"/>
      <c r="T194" s="277"/>
      <c r="U194" s="275">
        <f t="shared" ref="U194" si="29">Q194+1</f>
        <v>2026</v>
      </c>
      <c r="V194" s="276"/>
      <c r="W194" s="276"/>
      <c r="X194" s="277"/>
      <c r="Y194" s="275">
        <f t="shared" ref="Y194" si="30">U194+1</f>
        <v>2027</v>
      </c>
      <c r="Z194" s="276"/>
      <c r="AA194" s="276"/>
      <c r="AB194" s="277"/>
      <c r="AC194" s="275">
        <f t="shared" ref="AC194" si="31">Y194+1</f>
        <v>2028</v>
      </c>
      <c r="AD194" s="276"/>
      <c r="AE194" s="276"/>
      <c r="AF194" s="277"/>
      <c r="AG194" s="275">
        <f t="shared" ref="AG194" si="32">AC194+1</f>
        <v>2029</v>
      </c>
      <c r="AH194" s="276"/>
      <c r="AI194" s="276"/>
      <c r="AJ194" s="277"/>
      <c r="AK194" s="275">
        <f t="shared" ref="AK194" si="33">AG194+1</f>
        <v>2030</v>
      </c>
      <c r="AL194" s="276"/>
      <c r="AM194" s="276"/>
      <c r="AN194" s="277"/>
      <c r="AO194" s="275">
        <f t="shared" ref="AO194" si="34">AK194+1</f>
        <v>2031</v>
      </c>
      <c r="AP194" s="276"/>
      <c r="AQ194" s="276"/>
      <c r="AR194" s="277"/>
      <c r="AS194" s="275">
        <f t="shared" ref="AS194" si="35">AO194+1</f>
        <v>2032</v>
      </c>
      <c r="AT194" s="276"/>
      <c r="AU194" s="276"/>
      <c r="AV194" s="277"/>
    </row>
    <row r="195" spans="3:48" ht="15" thickBot="1" x14ac:dyDescent="0.4">
      <c r="C195" s="15"/>
      <c r="D195" s="26"/>
      <c r="E195" s="24" t="s">
        <v>88</v>
      </c>
      <c r="F195" s="16" t="s">
        <v>89</v>
      </c>
      <c r="G195" s="16" t="s">
        <v>90</v>
      </c>
      <c r="H195" s="17" t="s">
        <v>91</v>
      </c>
      <c r="I195" s="24" t="s">
        <v>88</v>
      </c>
      <c r="J195" s="16" t="s">
        <v>89</v>
      </c>
      <c r="K195" s="16" t="s">
        <v>90</v>
      </c>
      <c r="L195" s="17" t="s">
        <v>91</v>
      </c>
      <c r="M195" s="24" t="s">
        <v>88</v>
      </c>
      <c r="N195" s="16" t="s">
        <v>89</v>
      </c>
      <c r="O195" s="16" t="s">
        <v>90</v>
      </c>
      <c r="P195" s="17" t="s">
        <v>91</v>
      </c>
      <c r="Q195" s="24" t="s">
        <v>88</v>
      </c>
      <c r="R195" s="16" t="s">
        <v>89</v>
      </c>
      <c r="S195" s="16" t="s">
        <v>90</v>
      </c>
      <c r="T195" s="17" t="s">
        <v>91</v>
      </c>
      <c r="U195" s="24" t="s">
        <v>88</v>
      </c>
      <c r="V195" s="16" t="s">
        <v>89</v>
      </c>
      <c r="W195" s="16" t="s">
        <v>90</v>
      </c>
      <c r="X195" s="17" t="s">
        <v>91</v>
      </c>
      <c r="Y195" s="24" t="s">
        <v>88</v>
      </c>
      <c r="Z195" s="16" t="s">
        <v>89</v>
      </c>
      <c r="AA195" s="16" t="s">
        <v>90</v>
      </c>
      <c r="AB195" s="17" t="s">
        <v>91</v>
      </c>
      <c r="AC195" s="24" t="s">
        <v>88</v>
      </c>
      <c r="AD195" s="16" t="s">
        <v>89</v>
      </c>
      <c r="AE195" s="16" t="s">
        <v>90</v>
      </c>
      <c r="AF195" s="17" t="s">
        <v>91</v>
      </c>
      <c r="AG195" s="16" t="s">
        <v>88</v>
      </c>
      <c r="AH195" s="16" t="s">
        <v>89</v>
      </c>
      <c r="AI195" s="16" t="s">
        <v>90</v>
      </c>
      <c r="AJ195" s="17" t="s">
        <v>91</v>
      </c>
      <c r="AK195" s="24" t="s">
        <v>88</v>
      </c>
      <c r="AL195" s="16" t="s">
        <v>89</v>
      </c>
      <c r="AM195" s="16" t="s">
        <v>90</v>
      </c>
      <c r="AN195" s="17" t="s">
        <v>91</v>
      </c>
      <c r="AO195" s="24" t="s">
        <v>88</v>
      </c>
      <c r="AP195" s="16" t="s">
        <v>89</v>
      </c>
      <c r="AQ195" s="16" t="s">
        <v>90</v>
      </c>
      <c r="AR195" s="17" t="s">
        <v>91</v>
      </c>
      <c r="AS195" s="24" t="s">
        <v>88</v>
      </c>
      <c r="AT195" s="16" t="s">
        <v>89</v>
      </c>
      <c r="AU195" s="16" t="s">
        <v>90</v>
      </c>
      <c r="AV195" s="17" t="s">
        <v>91</v>
      </c>
    </row>
    <row r="196" spans="3:48" x14ac:dyDescent="0.35">
      <c r="C196" s="32" t="s">
        <v>41</v>
      </c>
      <c r="D196" s="25"/>
      <c r="E196" s="103"/>
      <c r="F196" s="103"/>
      <c r="G196" s="103"/>
      <c r="H196" s="103"/>
      <c r="I196" s="104"/>
      <c r="J196" s="105"/>
      <c r="K196" s="105"/>
      <c r="L196" s="106"/>
      <c r="M196" s="103"/>
      <c r="N196" s="103"/>
      <c r="O196" s="103"/>
      <c r="P196" s="103"/>
      <c r="Q196" s="104"/>
      <c r="R196" s="105"/>
      <c r="S196" s="105"/>
      <c r="T196" s="106"/>
      <c r="U196" s="103"/>
      <c r="V196" s="103"/>
      <c r="W196" s="103"/>
      <c r="X196" s="103"/>
      <c r="Y196" s="104"/>
      <c r="Z196" s="105"/>
      <c r="AA196" s="105"/>
      <c r="AB196" s="106"/>
      <c r="AC196" s="103"/>
      <c r="AD196" s="103"/>
      <c r="AE196" s="103"/>
      <c r="AF196" s="103"/>
      <c r="AG196" s="104"/>
      <c r="AH196" s="105"/>
      <c r="AI196" s="105"/>
      <c r="AJ196" s="106"/>
      <c r="AK196" s="103"/>
      <c r="AL196" s="103"/>
      <c r="AM196" s="103"/>
      <c r="AN196" s="103"/>
      <c r="AO196" s="104"/>
      <c r="AP196" s="105"/>
      <c r="AQ196" s="105"/>
      <c r="AR196" s="106"/>
      <c r="AS196" s="103"/>
      <c r="AT196" s="103"/>
      <c r="AU196" s="103"/>
      <c r="AV196" s="107"/>
    </row>
    <row r="197" spans="3:48" x14ac:dyDescent="0.35">
      <c r="C197" s="32" t="s">
        <v>42</v>
      </c>
      <c r="D197" s="25"/>
      <c r="E197" s="103"/>
      <c r="F197" s="103"/>
      <c r="G197" s="103"/>
      <c r="H197" s="103"/>
      <c r="I197" s="108"/>
      <c r="J197" s="103"/>
      <c r="K197" s="103"/>
      <c r="L197" s="107"/>
      <c r="M197" s="103"/>
      <c r="N197" s="103"/>
      <c r="O197" s="103"/>
      <c r="P197" s="103"/>
      <c r="Q197" s="108"/>
      <c r="R197" s="103"/>
      <c r="S197" s="103"/>
      <c r="T197" s="107"/>
      <c r="U197" s="103"/>
      <c r="V197" s="103"/>
      <c r="W197" s="103"/>
      <c r="X197" s="103"/>
      <c r="Y197" s="108"/>
      <c r="Z197" s="103"/>
      <c r="AA197" s="103"/>
      <c r="AB197" s="107"/>
      <c r="AC197" s="103"/>
      <c r="AD197" s="103"/>
      <c r="AE197" s="103"/>
      <c r="AF197" s="103"/>
      <c r="AG197" s="108"/>
      <c r="AH197" s="103"/>
      <c r="AI197" s="103"/>
      <c r="AJ197" s="107"/>
      <c r="AK197" s="103"/>
      <c r="AL197" s="103"/>
      <c r="AM197" s="103"/>
      <c r="AN197" s="103"/>
      <c r="AO197" s="108"/>
      <c r="AP197" s="103"/>
      <c r="AQ197" s="103"/>
      <c r="AR197" s="107"/>
      <c r="AS197" s="103"/>
      <c r="AT197" s="103"/>
      <c r="AU197" s="103"/>
      <c r="AV197" s="107"/>
    </row>
    <row r="198" spans="3:48" x14ac:dyDescent="0.35">
      <c r="C198" s="32" t="s">
        <v>43</v>
      </c>
      <c r="D198" s="25"/>
      <c r="E198" s="103"/>
      <c r="F198" s="103"/>
      <c r="G198" s="103"/>
      <c r="H198" s="103"/>
      <c r="I198" s="108"/>
      <c r="J198" s="103"/>
      <c r="K198" s="103"/>
      <c r="L198" s="107"/>
      <c r="M198" s="103"/>
      <c r="N198" s="103"/>
      <c r="O198" s="103"/>
      <c r="P198" s="103"/>
      <c r="Q198" s="108"/>
      <c r="R198" s="103"/>
      <c r="S198" s="103"/>
      <c r="T198" s="107"/>
      <c r="U198" s="103"/>
      <c r="V198" s="103"/>
      <c r="W198" s="103"/>
      <c r="X198" s="103"/>
      <c r="Y198" s="108"/>
      <c r="Z198" s="103"/>
      <c r="AA198" s="103"/>
      <c r="AB198" s="107"/>
      <c r="AC198" s="103"/>
      <c r="AD198" s="103"/>
      <c r="AE198" s="103"/>
      <c r="AF198" s="103"/>
      <c r="AG198" s="108"/>
      <c r="AH198" s="103"/>
      <c r="AI198" s="103"/>
      <c r="AJ198" s="107"/>
      <c r="AK198" s="103"/>
      <c r="AL198" s="103"/>
      <c r="AM198" s="103"/>
      <c r="AN198" s="103"/>
      <c r="AO198" s="108"/>
      <c r="AP198" s="103"/>
      <c r="AQ198" s="103"/>
      <c r="AR198" s="107"/>
      <c r="AS198" s="103"/>
      <c r="AT198" s="103"/>
      <c r="AU198" s="103"/>
      <c r="AV198" s="107"/>
    </row>
    <row r="199" spans="3:48" ht="15" thickBot="1" x14ac:dyDescent="0.4">
      <c r="C199" s="30" t="s">
        <v>44</v>
      </c>
      <c r="D199" s="26"/>
      <c r="E199" s="109"/>
      <c r="F199" s="109"/>
      <c r="G199" s="109"/>
      <c r="H199" s="109"/>
      <c r="I199" s="110"/>
      <c r="J199" s="109"/>
      <c r="K199" s="109"/>
      <c r="L199" s="111"/>
      <c r="M199" s="109"/>
      <c r="N199" s="109"/>
      <c r="O199" s="109"/>
      <c r="P199" s="109"/>
      <c r="Q199" s="110"/>
      <c r="R199" s="109"/>
      <c r="S199" s="109"/>
      <c r="T199" s="111"/>
      <c r="U199" s="109"/>
      <c r="V199" s="109"/>
      <c r="W199" s="109"/>
      <c r="X199" s="109"/>
      <c r="Y199" s="110"/>
      <c r="Z199" s="109"/>
      <c r="AA199" s="109"/>
      <c r="AB199" s="111"/>
      <c r="AC199" s="109"/>
      <c r="AD199" s="109"/>
      <c r="AE199" s="109"/>
      <c r="AF199" s="109"/>
      <c r="AG199" s="110"/>
      <c r="AH199" s="109"/>
      <c r="AI199" s="109"/>
      <c r="AJ199" s="111"/>
      <c r="AK199" s="109"/>
      <c r="AL199" s="109"/>
      <c r="AM199" s="109"/>
      <c r="AN199" s="109"/>
      <c r="AO199" s="110"/>
      <c r="AP199" s="109"/>
      <c r="AQ199" s="109"/>
      <c r="AR199" s="111"/>
      <c r="AS199" s="109"/>
      <c r="AT199" s="109"/>
      <c r="AU199" s="109"/>
      <c r="AV199" s="111"/>
    </row>
  </sheetData>
  <dataConsolidate/>
  <mergeCells count="36">
    <mergeCell ref="AS194:AV194"/>
    <mergeCell ref="Y194:AB194"/>
    <mergeCell ref="AC194:AF194"/>
    <mergeCell ref="AG194:AJ194"/>
    <mergeCell ref="AK194:AN194"/>
    <mergeCell ref="AO194:AR194"/>
    <mergeCell ref="E194:H194"/>
    <mergeCell ref="I194:L194"/>
    <mergeCell ref="M194:P194"/>
    <mergeCell ref="Q194:T194"/>
    <mergeCell ref="U194:X194"/>
    <mergeCell ref="B1:C2"/>
    <mergeCell ref="U14:X14"/>
    <mergeCell ref="Y14:AB14"/>
    <mergeCell ref="AC14:AF14"/>
    <mergeCell ref="AG14:AJ14"/>
    <mergeCell ref="E14:H14"/>
    <mergeCell ref="I14:L14"/>
    <mergeCell ref="M14:P14"/>
    <mergeCell ref="Q14:T14"/>
    <mergeCell ref="E182:H182"/>
    <mergeCell ref="I182:L182"/>
    <mergeCell ref="M182:P182"/>
    <mergeCell ref="Q182:T182"/>
    <mergeCell ref="U182:X182"/>
    <mergeCell ref="Y182:AB182"/>
    <mergeCell ref="AC182:AF182"/>
    <mergeCell ref="AG182:AJ182"/>
    <mergeCell ref="AK182:AN182"/>
    <mergeCell ref="AO182:AR182"/>
    <mergeCell ref="AO14:AR14"/>
    <mergeCell ref="AK14:AN14"/>
    <mergeCell ref="AS14:AV14"/>
    <mergeCell ref="AS182:AV182"/>
    <mergeCell ref="AW16:AZ26"/>
    <mergeCell ref="AW14:AZ15"/>
  </mergeCells>
  <dataValidations count="3">
    <dataValidation type="list" allowBlank="1" showInputMessage="1" showErrorMessage="1" sqref="C5" xr:uid="{00000000-0002-0000-0300-000000000000}">
      <formula1>"US$, EUR"</formula1>
    </dataValidation>
    <dataValidation type="list" allowBlank="1" showInputMessage="1" showErrorMessage="1" sqref="C24" xr:uid="{00000000-0002-0000-0300-000001000000}">
      <formula1>"direct incremental, direct maintaining, indirect incremental, indirect maintaining, indirect cannibalization"</formula1>
    </dataValidation>
    <dataValidation type="list" allowBlank="1" showInputMessage="1" showErrorMessage="1" sqref="C7" xr:uid="{00000000-0002-0000-0300-000003000000}">
      <formula1>"On, Off"</formula1>
    </dataValidation>
  </dataValidations>
  <pageMargins left="0.7" right="0.7" top="0.78740157499999996" bottom="0.78740157499999996" header="0.3" footer="0.3"/>
  <pageSetup scale="15" orientation="portrait" r:id="rId1"/>
  <ignoredErrors>
    <ignoredError sqref="F18 F2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Change_Number_of_Variants.change_number_of_variants">
                <anchor moveWithCells="1" sizeWithCells="1">
                  <from>
                    <xdr:col>4</xdr:col>
                    <xdr:colOff>0</xdr:colOff>
                    <xdr:row>4</xdr:row>
                    <xdr:rowOff>184150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5" name="Button 37">
              <controlPr defaultSize="0" print="0" autoFill="0" autoPict="0" macro="[0]!Add_Variant.Add_Varian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6" name="Button 41">
              <controlPr defaultSize="0" print="0" autoFill="0" autoPict="0" macro="[0]!Sales_Start_End_Calc">
                <anchor moveWithCells="1" sizeWithCells="1">
                  <from>
                    <xdr:col>12</xdr:col>
                    <xdr:colOff>0</xdr:colOff>
                    <xdr:row>5</xdr:row>
                    <xdr:rowOff>19050</xdr:rowOff>
                  </from>
                  <to>
                    <xdr:col>15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38D4-0CF3-4401-AA0F-50EC5842B0CE}">
  <sheetPr codeName="Sheet2">
    <tabColor theme="9" tint="0.79998168889431442"/>
  </sheetPr>
  <dimension ref="B1:AZ53"/>
  <sheetViews>
    <sheetView showGridLines="0" topLeftCell="A3" zoomScaleNormal="100" workbookViewId="0">
      <selection activeCell="D41" sqref="D41"/>
    </sheetView>
  </sheetViews>
  <sheetFormatPr defaultColWidth="10.81640625" defaultRowHeight="14.5" x14ac:dyDescent="0.35"/>
  <cols>
    <col min="2" max="2" width="40.54296875" bestFit="1" customWidth="1"/>
    <col min="3" max="3" width="18.7265625" bestFit="1" customWidth="1"/>
    <col min="4" max="4" width="24" bestFit="1" customWidth="1"/>
  </cols>
  <sheetData>
    <row r="1" spans="2:52" x14ac:dyDescent="0.35">
      <c r="B1" s="292" t="s">
        <v>78</v>
      </c>
      <c r="C1" s="293"/>
    </row>
    <row r="2" spans="2:52" ht="15" thickBot="1" x14ac:dyDescent="0.4">
      <c r="B2" s="294"/>
      <c r="C2" s="295"/>
    </row>
    <row r="5" spans="2:52" x14ac:dyDescent="0.35">
      <c r="B5" s="296" t="s">
        <v>112</v>
      </c>
      <c r="C5" s="296"/>
    </row>
    <row r="6" spans="2:52" x14ac:dyDescent="0.35">
      <c r="B6" s="296"/>
      <c r="C6" s="296"/>
    </row>
    <row r="7" spans="2:52" x14ac:dyDescent="0.35">
      <c r="D7" s="1"/>
      <c r="E7" s="6"/>
      <c r="F7" s="6"/>
      <c r="G7" s="6"/>
      <c r="H7" s="6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"/>
      <c r="AX7" s="6"/>
      <c r="AY7" s="6"/>
      <c r="AZ7" s="6"/>
    </row>
    <row r="8" spans="2:52" x14ac:dyDescent="0.35"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6"/>
      <c r="AX8" s="6"/>
      <c r="AY8" s="6"/>
      <c r="AZ8" s="6"/>
    </row>
    <row r="9" spans="2:52" x14ac:dyDescent="0.35">
      <c r="B9" s="1"/>
      <c r="C9" s="1"/>
    </row>
    <row r="10" spans="2:52" x14ac:dyDescent="0.35">
      <c r="C10" s="74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</row>
    <row r="11" spans="2:52" x14ac:dyDescent="0.35">
      <c r="B11" s="297" t="s">
        <v>113</v>
      </c>
      <c r="C11" s="297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</row>
    <row r="12" spans="2:52" x14ac:dyDescent="0.35">
      <c r="B12" s="297"/>
      <c r="C12" s="297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</row>
    <row r="13" spans="2:52" ht="15" thickBot="1" x14ac:dyDescent="0.4">
      <c r="C13" s="74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</row>
    <row r="14" spans="2:52" x14ac:dyDescent="0.35">
      <c r="B14" s="18"/>
      <c r="C14" s="18"/>
      <c r="D14" s="22" t="s">
        <v>86</v>
      </c>
      <c r="E14" s="286">
        <f>'BC Summary US$'!B17</f>
        <v>2022</v>
      </c>
      <c r="F14" s="287"/>
      <c r="G14" s="287"/>
      <c r="H14" s="288"/>
      <c r="I14" s="275">
        <f>E14+1</f>
        <v>2023</v>
      </c>
      <c r="J14" s="276"/>
      <c r="K14" s="276"/>
      <c r="L14" s="277"/>
      <c r="M14" s="275">
        <f t="shared" ref="M14" si="0">I14+1</f>
        <v>2024</v>
      </c>
      <c r="N14" s="276"/>
      <c r="O14" s="276"/>
      <c r="P14" s="277"/>
      <c r="Q14" s="275">
        <f t="shared" ref="Q14" si="1">M14+1</f>
        <v>2025</v>
      </c>
      <c r="R14" s="276"/>
      <c r="S14" s="276"/>
      <c r="T14" s="277"/>
      <c r="U14" s="275">
        <f t="shared" ref="U14" si="2">Q14+1</f>
        <v>2026</v>
      </c>
      <c r="V14" s="276"/>
      <c r="W14" s="276"/>
      <c r="X14" s="277"/>
      <c r="Y14" s="275">
        <f t="shared" ref="Y14" si="3">U14+1</f>
        <v>2027</v>
      </c>
      <c r="Z14" s="276"/>
      <c r="AA14" s="276"/>
      <c r="AB14" s="277"/>
      <c r="AC14" s="275">
        <f t="shared" ref="AC14" si="4">Y14+1</f>
        <v>2028</v>
      </c>
      <c r="AD14" s="276"/>
      <c r="AE14" s="276"/>
      <c r="AF14" s="277"/>
      <c r="AG14" s="275">
        <f t="shared" ref="AG14" si="5">AC14+1</f>
        <v>2029</v>
      </c>
      <c r="AH14" s="276"/>
      <c r="AI14" s="276"/>
      <c r="AJ14" s="277"/>
      <c r="AK14" s="275">
        <f t="shared" ref="AK14" si="6">AG14+1</f>
        <v>2030</v>
      </c>
      <c r="AL14" s="276"/>
      <c r="AM14" s="276"/>
      <c r="AN14" s="277"/>
      <c r="AO14" s="275">
        <f t="shared" ref="AO14" si="7">AK14+1</f>
        <v>2031</v>
      </c>
      <c r="AP14" s="276"/>
      <c r="AQ14" s="276"/>
      <c r="AR14" s="277"/>
      <c r="AS14" s="275">
        <f t="shared" ref="AS14" si="8">AO14+1</f>
        <v>2032</v>
      </c>
      <c r="AT14" s="276"/>
      <c r="AU14" s="276"/>
      <c r="AV14" s="277"/>
      <c r="AW14" s="286" t="s">
        <v>87</v>
      </c>
      <c r="AX14" s="287"/>
      <c r="AY14" s="287"/>
      <c r="AZ14" s="288"/>
    </row>
    <row r="15" spans="2:52" ht="15" thickBot="1" x14ac:dyDescent="0.4">
      <c r="B15" s="19"/>
      <c r="C15" s="19"/>
      <c r="D15" s="19"/>
      <c r="E15" s="24" t="s">
        <v>88</v>
      </c>
      <c r="F15" s="16" t="s">
        <v>89</v>
      </c>
      <c r="G15" s="16" t="s">
        <v>90</v>
      </c>
      <c r="H15" s="17" t="s">
        <v>91</v>
      </c>
      <c r="I15" s="24" t="s">
        <v>88</v>
      </c>
      <c r="J15" s="16" t="s">
        <v>89</v>
      </c>
      <c r="K15" s="16" t="s">
        <v>90</v>
      </c>
      <c r="L15" s="17" t="s">
        <v>91</v>
      </c>
      <c r="M15" s="24" t="s">
        <v>88</v>
      </c>
      <c r="N15" s="16" t="s">
        <v>89</v>
      </c>
      <c r="O15" s="16" t="s">
        <v>90</v>
      </c>
      <c r="P15" s="17" t="s">
        <v>91</v>
      </c>
      <c r="Q15" s="24" t="s">
        <v>88</v>
      </c>
      <c r="R15" s="16" t="s">
        <v>89</v>
      </c>
      <c r="S15" s="16" t="s">
        <v>90</v>
      </c>
      <c r="T15" s="17" t="s">
        <v>91</v>
      </c>
      <c r="U15" s="24" t="s">
        <v>88</v>
      </c>
      <c r="V15" s="16" t="s">
        <v>89</v>
      </c>
      <c r="W15" s="16" t="s">
        <v>90</v>
      </c>
      <c r="X15" s="17" t="s">
        <v>91</v>
      </c>
      <c r="Y15" s="24" t="s">
        <v>88</v>
      </c>
      <c r="Z15" s="16" t="s">
        <v>89</v>
      </c>
      <c r="AA15" s="16" t="s">
        <v>90</v>
      </c>
      <c r="AB15" s="17" t="s">
        <v>91</v>
      </c>
      <c r="AC15" s="24" t="s">
        <v>88</v>
      </c>
      <c r="AD15" s="16" t="s">
        <v>89</v>
      </c>
      <c r="AE15" s="16" t="s">
        <v>90</v>
      </c>
      <c r="AF15" s="17" t="s">
        <v>91</v>
      </c>
      <c r="AG15" s="24" t="s">
        <v>88</v>
      </c>
      <c r="AH15" s="16" t="s">
        <v>89</v>
      </c>
      <c r="AI15" s="16" t="s">
        <v>90</v>
      </c>
      <c r="AJ15" s="17" t="s">
        <v>91</v>
      </c>
      <c r="AK15" s="24" t="s">
        <v>88</v>
      </c>
      <c r="AL15" s="16" t="s">
        <v>89</v>
      </c>
      <c r="AM15" s="16" t="s">
        <v>90</v>
      </c>
      <c r="AN15" s="17" t="s">
        <v>91</v>
      </c>
      <c r="AO15" s="24" t="s">
        <v>88</v>
      </c>
      <c r="AP15" s="16" t="s">
        <v>89</v>
      </c>
      <c r="AQ15" s="16" t="s">
        <v>90</v>
      </c>
      <c r="AR15" s="17" t="s">
        <v>91</v>
      </c>
      <c r="AS15" s="24" t="s">
        <v>88</v>
      </c>
      <c r="AT15" s="16" t="s">
        <v>89</v>
      </c>
      <c r="AU15" s="16" t="s">
        <v>90</v>
      </c>
      <c r="AV15" s="17" t="s">
        <v>91</v>
      </c>
      <c r="AW15" s="289"/>
      <c r="AX15" s="290"/>
      <c r="AY15" s="290"/>
      <c r="AZ15" s="291"/>
    </row>
    <row r="16" spans="2:52" x14ac:dyDescent="0.35">
      <c r="B16" s="22" t="s">
        <v>92</v>
      </c>
      <c r="C16" s="68" t="s">
        <v>114</v>
      </c>
      <c r="D16" s="18"/>
      <c r="E16" s="27"/>
      <c r="F16" s="28"/>
      <c r="G16" s="28"/>
      <c r="H16" s="29"/>
      <c r="I16" s="28"/>
      <c r="J16" s="28"/>
      <c r="K16" s="28"/>
      <c r="L16" s="29"/>
      <c r="M16" s="27"/>
      <c r="N16" s="28"/>
      <c r="O16" s="28"/>
      <c r="P16" s="29"/>
      <c r="Q16" s="27"/>
      <c r="R16" s="28"/>
      <c r="S16" s="28"/>
      <c r="T16" s="29"/>
      <c r="U16" s="27"/>
      <c r="V16" s="28"/>
      <c r="W16" s="28"/>
      <c r="X16" s="29"/>
      <c r="Y16" s="27"/>
      <c r="Z16" s="28"/>
      <c r="AA16" s="28"/>
      <c r="AB16" s="29"/>
      <c r="AC16" s="27"/>
      <c r="AD16" s="28"/>
      <c r="AE16" s="28"/>
      <c r="AF16" s="29"/>
      <c r="AG16" s="27"/>
      <c r="AH16" s="28"/>
      <c r="AI16" s="28"/>
      <c r="AJ16" s="29"/>
      <c r="AK16" s="27"/>
      <c r="AL16" s="28"/>
      <c r="AM16" s="28"/>
      <c r="AN16" s="29"/>
      <c r="AO16" s="27"/>
      <c r="AP16" s="28"/>
      <c r="AQ16" s="28"/>
      <c r="AR16" s="28"/>
      <c r="AS16" s="27"/>
      <c r="AT16" s="28"/>
      <c r="AU16" s="28"/>
      <c r="AV16" s="29"/>
      <c r="AW16" s="278"/>
      <c r="AX16" s="279"/>
      <c r="AY16" s="279"/>
      <c r="AZ16" s="280"/>
    </row>
    <row r="17" spans="2:52" x14ac:dyDescent="0.35">
      <c r="B17" s="21" t="s">
        <v>93</v>
      </c>
      <c r="C17" s="36"/>
      <c r="D17" s="21" t="s">
        <v>94</v>
      </c>
      <c r="E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F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G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H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I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J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K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L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M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N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O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P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Q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R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S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T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U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V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W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X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Y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Z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A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B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C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D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E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F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G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H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I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J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K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L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M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N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O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P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Q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R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S17" s="90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T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U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V17" s="91">
        <f>IFERROR(lifecyclevolume($C17,$C21,$C20,MAX(0,((COLUMN()-COLUMN($E$17)))*3-(($C22-$E$14)*12+$C23*3-4)))+lifecyclevolume($C17,$C21,$C20,MAX(0,1+((COLUMN()-COLUMN($E$17)))*3-(($C22-$E$14)*12+$C23*3-4)))+lifecyclevolume($C17,$C21,$C20,MAX(0,2+((COLUMN()-COLUMN($E$17)))*3-(($C22-$E$14)*12+$C23*3-4))),0)</f>
        <v>0</v>
      </c>
      <c r="AW17" s="281"/>
      <c r="AX17" s="261"/>
      <c r="AY17" s="261"/>
      <c r="AZ17" s="282"/>
    </row>
    <row r="18" spans="2:52" x14ac:dyDescent="0.35">
      <c r="B18" s="21" t="s">
        <v>95</v>
      </c>
      <c r="C18" s="20"/>
      <c r="D18" s="21" t="s">
        <v>96</v>
      </c>
      <c r="E18" s="90">
        <f>IF(E17=0,0,$C18*POWER(POWER(1-$C$10,0.25),MAX(0,COUNTIF($E17:E17,"&gt;0")-4)))</f>
        <v>0</v>
      </c>
      <c r="F18" s="91">
        <f>IF(F17=0,0,$C18*POWER(POWER(1-$C$10,0.25),MAX(0,COUNTIF($E17:F17,"&gt;0")-4)))</f>
        <v>0</v>
      </c>
      <c r="G18" s="91">
        <f>IF(G17=0,0,$C18*POWER(POWER(1-$C$10,0.25),MAX(0,COUNTIF($E17:G17,"&gt;0")-4)))</f>
        <v>0</v>
      </c>
      <c r="H18" s="91">
        <f>IF(H17=0,0,$C18*POWER(POWER(1-$C$10,0.25),MAX(0,COUNTIF($E17:H17,"&gt;0")-4)))</f>
        <v>0</v>
      </c>
      <c r="I18" s="90">
        <f>IF(I17=0,0,$C18*POWER(POWER(1-$C$10,0.25),MAX(0,COUNTIF($E17:I17,"&gt;0")-4)))</f>
        <v>0</v>
      </c>
      <c r="J18" s="91">
        <f>IF(J17=0,0,$C18*POWER(POWER(1-$C$10,0.25),MAX(0,COUNTIF($E17:J17,"&gt;0")-4)))</f>
        <v>0</v>
      </c>
      <c r="K18" s="91">
        <f>IF(K17=0,0,$C18*POWER(POWER(1-$C$10,0.25),MAX(0,COUNTIF($E17:K17,"&gt;0")-4)))</f>
        <v>0</v>
      </c>
      <c r="L18" s="91">
        <f>IF(L17=0,0,$C18*POWER(POWER(1-$C$10,0.25),MAX(0,COUNTIF($E17:L17,"&gt;0")-4)))</f>
        <v>0</v>
      </c>
      <c r="M18" s="90">
        <f>IF(M17=0,0,$C18*POWER(POWER(1-$C$10,0.25),MAX(0,COUNTIF($E17:M17,"&gt;0")-4)))</f>
        <v>0</v>
      </c>
      <c r="N18" s="91">
        <f>IF(N17=0,0,$C18*POWER(POWER(1-$C$10,0.25),MAX(0,COUNTIF($E17:N17,"&gt;0")-4)))</f>
        <v>0</v>
      </c>
      <c r="O18" s="91">
        <f>IF(O17=0,0,$C18*POWER(POWER(1-$C$10,0.25),MAX(0,COUNTIF($E17:O17,"&gt;0")-4)))</f>
        <v>0</v>
      </c>
      <c r="P18" s="91">
        <f>IF(P17=0,0,$C18*POWER(POWER(1-$C$10,0.25),MAX(0,COUNTIF($E17:P17,"&gt;0")-4)))</f>
        <v>0</v>
      </c>
      <c r="Q18" s="90">
        <f>IF(Q17=0,0,$C18*POWER(POWER(1-$C$10,0.25),MAX(0,COUNTIF($E17:Q17,"&gt;0")-4)))</f>
        <v>0</v>
      </c>
      <c r="R18" s="91">
        <f>IF(R17=0,0,$C18*POWER(POWER(1-$C$10,0.25),MAX(0,COUNTIF($E17:R17,"&gt;0")-4)))</f>
        <v>0</v>
      </c>
      <c r="S18" s="91">
        <f>IF(S17=0,0,$C18*POWER(POWER(1-$C$10,0.25),MAX(0,COUNTIF($E17:S17,"&gt;0")-4)))</f>
        <v>0</v>
      </c>
      <c r="T18" s="91">
        <f>IF(T17=0,0,$C18*POWER(POWER(1-$C$10,0.25),MAX(0,COUNTIF($E17:T17,"&gt;0")-4)))</f>
        <v>0</v>
      </c>
      <c r="U18" s="90">
        <f>IF(U17=0,0,$C18*POWER(POWER(1-$C$10,0.25),MAX(0,COUNTIF($E17:U17,"&gt;0")-4)))</f>
        <v>0</v>
      </c>
      <c r="V18" s="91">
        <f>IF(V17=0,0,$C18*POWER(POWER(1-$C$10,0.25),MAX(0,COUNTIF($E17:V17,"&gt;0")-4)))</f>
        <v>0</v>
      </c>
      <c r="W18" s="91">
        <f>IF(W17=0,0,$C18*POWER(POWER(1-$C$10,0.25),MAX(0,COUNTIF($E17:W17,"&gt;0")-4)))</f>
        <v>0</v>
      </c>
      <c r="X18" s="91">
        <f>IF(X17=0,0,$C18*POWER(POWER(1-$C$10,0.25),MAX(0,COUNTIF($E17:X17,"&gt;0")-4)))</f>
        <v>0</v>
      </c>
      <c r="Y18" s="90">
        <f>IF(Y17=0,0,$C18*POWER(POWER(1-$C$10,0.25),MAX(0,COUNTIF($E17:Y17,"&gt;0")-4)))</f>
        <v>0</v>
      </c>
      <c r="Z18" s="91">
        <f>IF(Z17=0,0,$C18*POWER(POWER(1-$C$10,0.25),MAX(0,COUNTIF($E17:Z17,"&gt;0")-4)))</f>
        <v>0</v>
      </c>
      <c r="AA18" s="91">
        <f>IF(AA17=0,0,$C18*POWER(POWER(1-$C$10,0.25),MAX(0,COUNTIF($E17:AA17,"&gt;0")-4)))</f>
        <v>0</v>
      </c>
      <c r="AB18" s="91">
        <f>IF(AB17=0,0,$C18*POWER(POWER(1-$C$10,0.25),MAX(0,COUNTIF($E17:AB17,"&gt;0")-4)))</f>
        <v>0</v>
      </c>
      <c r="AC18" s="90">
        <f>IF(AC17=0,0,$C18*POWER(POWER(1-$C$10,0.25),MAX(0,COUNTIF($E17:AC17,"&gt;0")-4)))</f>
        <v>0</v>
      </c>
      <c r="AD18" s="91">
        <f>IF(AD17=0,0,$C18*POWER(POWER(1-$C$10,0.25),MAX(0,COUNTIF($E17:AD17,"&gt;0")-4)))</f>
        <v>0</v>
      </c>
      <c r="AE18" s="91">
        <f>IF(AE17=0,0,$C18*POWER(POWER(1-$C$10,0.25),MAX(0,COUNTIF($E17:AE17,"&gt;0")-4)))</f>
        <v>0</v>
      </c>
      <c r="AF18" s="91">
        <f>IF(AF17=0,0,$C18*POWER(POWER(1-$C$10,0.25),MAX(0,COUNTIF($E17:AF17,"&gt;0")-4)))</f>
        <v>0</v>
      </c>
      <c r="AG18" s="90">
        <f>IF(AG17=0,0,$C18*POWER(POWER(1-$C$10,0.25),MAX(0,COUNTIF($E17:AG17,"&gt;0")-4)))</f>
        <v>0</v>
      </c>
      <c r="AH18" s="91">
        <f>IF(AH17=0,0,$C18*POWER(POWER(1-$C$10,0.25),MAX(0,COUNTIF($E17:AH17,"&gt;0")-4)))</f>
        <v>0</v>
      </c>
      <c r="AI18" s="91">
        <f>IF(AI17=0,0,$C18*POWER(POWER(1-$C$10,0.25),MAX(0,COUNTIF($E17:AI17,"&gt;0")-4)))</f>
        <v>0</v>
      </c>
      <c r="AJ18" s="91">
        <f>IF(AJ17=0,0,$C18*POWER(POWER(1-$C$10,0.25),MAX(0,COUNTIF($E17:AJ17,"&gt;0")-4)))</f>
        <v>0</v>
      </c>
      <c r="AK18" s="90">
        <f>IF(AK17=0,0,$C18*POWER(POWER(1-$C$10,0.25),MAX(0,COUNTIF($E17:AK17,"&gt;0")-4)))</f>
        <v>0</v>
      </c>
      <c r="AL18" s="91">
        <f>IF(AL17=0,0,$C18*POWER(POWER(1-$C$10,0.25),MAX(0,COUNTIF($E17:AL17,"&gt;0")-4)))</f>
        <v>0</v>
      </c>
      <c r="AM18" s="91">
        <f>IF(AM17=0,0,$C18*POWER(POWER(1-$C$10,0.25),MAX(0,COUNTIF($E17:AM17,"&gt;0")-4)))</f>
        <v>0</v>
      </c>
      <c r="AN18" s="91">
        <f>IF(AN17=0,0,$C18*POWER(POWER(1-$C$10,0.25),MAX(0,COUNTIF($E17:AN17,"&gt;0")-4)))</f>
        <v>0</v>
      </c>
      <c r="AO18" s="90">
        <f>IF(AO17=0,0,$C18*POWER(POWER(1-$C$10,0.25),MAX(0,COUNTIF($E17:AO17,"&gt;0")-4)))</f>
        <v>0</v>
      </c>
      <c r="AP18" s="91">
        <f>IF(AP17=0,0,$C18*POWER(POWER(1-$C$10,0.25),MAX(0,COUNTIF($E17:AP17,"&gt;0")-4)))</f>
        <v>0</v>
      </c>
      <c r="AQ18" s="91">
        <f>IF(AQ17=0,0,$C18*POWER(POWER(1-$C$10,0.25),MAX(0,COUNTIF($E17:AQ17,"&gt;0")-4)))</f>
        <v>0</v>
      </c>
      <c r="AR18" s="91">
        <f>IF(AR17=0,0,$C18*POWER(POWER(1-$C$10,0.25),MAX(0,COUNTIF($E17:AR17,"&gt;0")-4)))</f>
        <v>0</v>
      </c>
      <c r="AS18" s="90">
        <f>IF(AS17=0,0,$C18*POWER(POWER(1-$C$10,0.25),MAX(0,COUNTIF($E17:AS17,"&gt;0")-4)))</f>
        <v>0</v>
      </c>
      <c r="AT18" s="91">
        <f>IF(AT17=0,0,$C18*POWER(POWER(1-$C$10,0.25),MAX(0,COUNTIF($E17:AT17,"&gt;0")-4)))</f>
        <v>0</v>
      </c>
      <c r="AU18" s="91">
        <f>IF(AU17=0,0,$C18*POWER(POWER(1-$C$10,0.25),MAX(0,COUNTIF($E17:AU17,"&gt;0")-4)))</f>
        <v>0</v>
      </c>
      <c r="AV18" s="91">
        <f>IF(AV17=0,0,$C18*POWER(POWER(1-$C$10,0.25),MAX(0,COUNTIF($E17:AV17,"&gt;0")-4)))</f>
        <v>0</v>
      </c>
      <c r="AW18" s="281"/>
      <c r="AX18" s="261"/>
      <c r="AY18" s="261"/>
      <c r="AZ18" s="282"/>
    </row>
    <row r="19" spans="2:52" x14ac:dyDescent="0.35">
      <c r="B19" s="21" t="s">
        <v>97</v>
      </c>
      <c r="C19" s="20"/>
      <c r="D19" s="21"/>
      <c r="E19" s="90"/>
      <c r="F19" s="91"/>
      <c r="G19" s="91"/>
      <c r="H19" s="92"/>
      <c r="I19" s="91"/>
      <c r="J19" s="91"/>
      <c r="K19" s="91"/>
      <c r="L19" s="92"/>
      <c r="M19" s="90"/>
      <c r="N19" s="91"/>
      <c r="O19" s="91"/>
      <c r="P19" s="92"/>
      <c r="Q19" s="90"/>
      <c r="R19" s="91"/>
      <c r="S19" s="91"/>
      <c r="T19" s="92"/>
      <c r="U19" s="90"/>
      <c r="V19" s="91"/>
      <c r="W19" s="91"/>
      <c r="X19" s="92"/>
      <c r="Y19" s="90"/>
      <c r="Z19" s="91"/>
      <c r="AA19" s="91"/>
      <c r="AB19" s="92"/>
      <c r="AC19" s="90"/>
      <c r="AD19" s="91"/>
      <c r="AE19" s="91"/>
      <c r="AF19" s="92"/>
      <c r="AG19" s="90"/>
      <c r="AH19" s="91"/>
      <c r="AI19" s="91"/>
      <c r="AJ19" s="92"/>
      <c r="AK19" s="90"/>
      <c r="AL19" s="91"/>
      <c r="AM19" s="91"/>
      <c r="AN19" s="92"/>
      <c r="AO19" s="90"/>
      <c r="AP19" s="91"/>
      <c r="AQ19" s="91"/>
      <c r="AR19" s="91"/>
      <c r="AS19" s="90"/>
      <c r="AT19" s="91"/>
      <c r="AU19" s="91"/>
      <c r="AV19" s="92"/>
      <c r="AW19" s="281"/>
      <c r="AX19" s="261"/>
      <c r="AY19" s="261"/>
      <c r="AZ19" s="282"/>
    </row>
    <row r="20" spans="2:52" x14ac:dyDescent="0.35">
      <c r="B20" s="21" t="s">
        <v>115</v>
      </c>
      <c r="C20" s="36"/>
      <c r="D20" s="21" t="s">
        <v>99</v>
      </c>
      <c r="E20" s="90">
        <f>IFERROR(E17*E18,"")</f>
        <v>0</v>
      </c>
      <c r="F20" s="91">
        <f t="shared" ref="F20:AV20" si="9">IFERROR(F17*F18,"")</f>
        <v>0</v>
      </c>
      <c r="G20" s="91">
        <f t="shared" si="9"/>
        <v>0</v>
      </c>
      <c r="H20" s="92">
        <f t="shared" si="9"/>
        <v>0</v>
      </c>
      <c r="I20" s="91">
        <f t="shared" si="9"/>
        <v>0</v>
      </c>
      <c r="J20" s="91">
        <f t="shared" si="9"/>
        <v>0</v>
      </c>
      <c r="K20" s="91">
        <f t="shared" si="9"/>
        <v>0</v>
      </c>
      <c r="L20" s="91">
        <f t="shared" si="9"/>
        <v>0</v>
      </c>
      <c r="M20" s="90">
        <f t="shared" si="9"/>
        <v>0</v>
      </c>
      <c r="N20" s="91">
        <f t="shared" si="9"/>
        <v>0</v>
      </c>
      <c r="O20" s="91">
        <f t="shared" si="9"/>
        <v>0</v>
      </c>
      <c r="P20" s="91">
        <f t="shared" si="9"/>
        <v>0</v>
      </c>
      <c r="Q20" s="90">
        <f t="shared" si="9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0">
        <f t="shared" si="9"/>
        <v>0</v>
      </c>
      <c r="V20" s="91">
        <f t="shared" si="9"/>
        <v>0</v>
      </c>
      <c r="W20" s="91">
        <f t="shared" si="9"/>
        <v>0</v>
      </c>
      <c r="X20" s="91">
        <f t="shared" si="9"/>
        <v>0</v>
      </c>
      <c r="Y20" s="90">
        <f t="shared" si="9"/>
        <v>0</v>
      </c>
      <c r="Z20" s="91">
        <f t="shared" si="9"/>
        <v>0</v>
      </c>
      <c r="AA20" s="91">
        <f t="shared" si="9"/>
        <v>0</v>
      </c>
      <c r="AB20" s="91">
        <f t="shared" si="9"/>
        <v>0</v>
      </c>
      <c r="AC20" s="90">
        <f t="shared" si="9"/>
        <v>0</v>
      </c>
      <c r="AD20" s="91">
        <f t="shared" si="9"/>
        <v>0</v>
      </c>
      <c r="AE20" s="91">
        <f t="shared" si="9"/>
        <v>0</v>
      </c>
      <c r="AF20" s="91">
        <f t="shared" si="9"/>
        <v>0</v>
      </c>
      <c r="AG20" s="90">
        <f t="shared" si="9"/>
        <v>0</v>
      </c>
      <c r="AH20" s="91">
        <f t="shared" si="9"/>
        <v>0</v>
      </c>
      <c r="AI20" s="91">
        <f t="shared" si="9"/>
        <v>0</v>
      </c>
      <c r="AJ20" s="91">
        <f t="shared" si="9"/>
        <v>0</v>
      </c>
      <c r="AK20" s="90">
        <f t="shared" si="9"/>
        <v>0</v>
      </c>
      <c r="AL20" s="91">
        <f t="shared" si="9"/>
        <v>0</v>
      </c>
      <c r="AM20" s="91">
        <f t="shared" si="9"/>
        <v>0</v>
      </c>
      <c r="AN20" s="91">
        <f t="shared" si="9"/>
        <v>0</v>
      </c>
      <c r="AO20" s="90">
        <f t="shared" si="9"/>
        <v>0</v>
      </c>
      <c r="AP20" s="91">
        <f t="shared" si="9"/>
        <v>0</v>
      </c>
      <c r="AQ20" s="91">
        <f t="shared" si="9"/>
        <v>0</v>
      </c>
      <c r="AR20" s="91">
        <f t="shared" si="9"/>
        <v>0</v>
      </c>
      <c r="AS20" s="90">
        <f t="shared" si="9"/>
        <v>0</v>
      </c>
      <c r="AT20" s="91">
        <f t="shared" si="9"/>
        <v>0</v>
      </c>
      <c r="AU20" s="91">
        <f t="shared" si="9"/>
        <v>0</v>
      </c>
      <c r="AV20" s="92">
        <f t="shared" si="9"/>
        <v>0</v>
      </c>
      <c r="AW20" s="281"/>
      <c r="AX20" s="261"/>
      <c r="AY20" s="261"/>
      <c r="AZ20" s="282"/>
    </row>
    <row r="21" spans="2:52" x14ac:dyDescent="0.35">
      <c r="B21" s="21" t="s">
        <v>100</v>
      </c>
      <c r="C21" s="36"/>
      <c r="D21" s="21" t="s">
        <v>101</v>
      </c>
      <c r="E21" s="90">
        <f>IF(E17=0,0,$C19*POWER(POWER(1-$C$11,0.25),MAX(0,COUNTIF($E17:E17,"&gt;0")-4))*E17)</f>
        <v>0</v>
      </c>
      <c r="F21" s="91">
        <f>IF(F17=0,0,$C19*POWER(POWER(1-$C$11,0.25),MAX(0,COUNTIF($E17:F17,"&gt;0")-4))*F17)</f>
        <v>0</v>
      </c>
      <c r="G21" s="91">
        <f>IF(G17=0,0,$C19*POWER(POWER(1-$C$11,0.25),MAX(0,COUNTIF($E17:G17,"&gt;0")-4))*G17)</f>
        <v>0</v>
      </c>
      <c r="H21" s="91">
        <f>IF(H17=0,0,$C19*POWER(POWER(1-$C$11,0.25),MAX(0,COUNTIF($E17:H17,"&gt;0")-4))*H17)</f>
        <v>0</v>
      </c>
      <c r="I21" s="90">
        <f>IF(I17=0,0,$C19*POWER(POWER(1-$C$11,0.25),MAX(0,COUNTIF($E17:I17,"&gt;0")-4))*I17)</f>
        <v>0</v>
      </c>
      <c r="J21" s="91">
        <f>IF(J17=0,0,$C19*POWER(POWER(1-$C$11,0.25),MAX(0,COUNTIF($E17:J17,"&gt;0")-4))*J17)</f>
        <v>0</v>
      </c>
      <c r="K21" s="91">
        <f>IF(K17=0,0,$C19*POWER(POWER(1-$C$11,0.25),MAX(0,COUNTIF($E17:K17,"&gt;0")-4))*K17)</f>
        <v>0</v>
      </c>
      <c r="L21" s="91">
        <f>IF(L17=0,0,$C19*POWER(POWER(1-$C$11,0.25),MAX(0,COUNTIF($E17:L17,"&gt;0")-4))*L17)</f>
        <v>0</v>
      </c>
      <c r="M21" s="90">
        <f>IF(M17=0,0,$C19*POWER(POWER(1-$C$11,0.25),MAX(0,COUNTIF($E17:M17,"&gt;0")-4))*M17)</f>
        <v>0</v>
      </c>
      <c r="N21" s="91">
        <f>IF(N17=0,0,$C19*POWER(POWER(1-$C$11,0.25),MAX(0,COUNTIF($E17:N17,"&gt;0")-4))*N17)</f>
        <v>0</v>
      </c>
      <c r="O21" s="91">
        <f>IF(O17=0,0,$C19*POWER(POWER(1-$C$11,0.25),MAX(0,COUNTIF($E17:O17,"&gt;0")-4))*O17)</f>
        <v>0</v>
      </c>
      <c r="P21" s="91">
        <f>IF(P17=0,0,$C19*POWER(POWER(1-$C$11,0.25),MAX(0,COUNTIF($E17:P17,"&gt;0")-4))*P17)</f>
        <v>0</v>
      </c>
      <c r="Q21" s="90">
        <f>IF(Q17=0,0,$C19*POWER(POWER(1-$C$11,0.25),MAX(0,COUNTIF($E17:Q17,"&gt;0")-4))*Q17)</f>
        <v>0</v>
      </c>
      <c r="R21" s="91">
        <f>IF(R17=0,0,$C19*POWER(POWER(1-$C$11,0.25),MAX(0,COUNTIF($E17:R17,"&gt;0")-4))*R17)</f>
        <v>0</v>
      </c>
      <c r="S21" s="91">
        <f>IF(S17=0,0,$C19*POWER(POWER(1-$C$11,0.25),MAX(0,COUNTIF($E17:S17,"&gt;0")-4))*S17)</f>
        <v>0</v>
      </c>
      <c r="T21" s="91">
        <f>IF(T17=0,0,$C19*POWER(POWER(1-$C$11,0.25),MAX(0,COUNTIF($E17:T17,"&gt;0")-4))*T17)</f>
        <v>0</v>
      </c>
      <c r="U21" s="90">
        <f>IF(U17=0,0,$C19*POWER(POWER(1-$C$11,0.25),MAX(0,COUNTIF($E17:U17,"&gt;0")-4))*U17)</f>
        <v>0</v>
      </c>
      <c r="V21" s="91">
        <f>IF(V17=0,0,$C19*POWER(POWER(1-$C$11,0.25),MAX(0,COUNTIF($E17:V17,"&gt;0")-4))*V17)</f>
        <v>0</v>
      </c>
      <c r="W21" s="91">
        <f>IF(W17=0,0,$C19*POWER(POWER(1-$C$11,0.25),MAX(0,COUNTIF($E17:W17,"&gt;0")-4))*W17)</f>
        <v>0</v>
      </c>
      <c r="X21" s="91">
        <f>IF(X17=0,0,$C19*POWER(POWER(1-$C$11,0.25),MAX(0,COUNTIF($E17:X17,"&gt;0")-4))*X17)</f>
        <v>0</v>
      </c>
      <c r="Y21" s="90">
        <f>IF(Y17=0,0,$C19*POWER(POWER(1-$C$11,0.25),MAX(0,COUNTIF($E17:Y17,"&gt;0")-4))*Y17)</f>
        <v>0</v>
      </c>
      <c r="Z21" s="91">
        <f>IF(Z17=0,0,$C19*POWER(POWER(1-$C$11,0.25),MAX(0,COUNTIF($E17:Z17,"&gt;0")-4))*Z17)</f>
        <v>0</v>
      </c>
      <c r="AA21" s="91">
        <f>IF(AA17=0,0,$C19*POWER(POWER(1-$C$11,0.25),MAX(0,COUNTIF($E17:AA17,"&gt;0")-4))*AA17)</f>
        <v>0</v>
      </c>
      <c r="AB21" s="91">
        <f>IF(AB17=0,0,$C19*POWER(POWER(1-$C$11,0.25),MAX(0,COUNTIF($E17:AB17,"&gt;0")-4))*AB17)</f>
        <v>0</v>
      </c>
      <c r="AC21" s="90">
        <f>IF(AC17=0,0,$C19*POWER(POWER(1-$C$11,0.25),MAX(0,COUNTIF($E17:AC17,"&gt;0")-4))*AC17)</f>
        <v>0</v>
      </c>
      <c r="AD21" s="91">
        <f>IF(AD17=0,0,$C19*POWER(POWER(1-$C$11,0.25),MAX(0,COUNTIF($E17:AD17,"&gt;0")-4))*AD17)</f>
        <v>0</v>
      </c>
      <c r="AE21" s="91">
        <f>IF(AE17=0,0,$C19*POWER(POWER(1-$C$11,0.25),MAX(0,COUNTIF($E17:AE17,"&gt;0")-4))*AE17)</f>
        <v>0</v>
      </c>
      <c r="AF21" s="91">
        <f>IF(AF17=0,0,$C19*POWER(POWER(1-$C$11,0.25),MAX(0,COUNTIF($E17:AF17,"&gt;0")-4))*AF17)</f>
        <v>0</v>
      </c>
      <c r="AG21" s="90">
        <f>IF(AG17=0,0,$C19*POWER(POWER(1-$C$11,0.25),MAX(0,COUNTIF($E17:AG17,"&gt;0")-4))*AG17)</f>
        <v>0</v>
      </c>
      <c r="AH21" s="91">
        <f>IF(AH17=0,0,$C19*POWER(POWER(1-$C$11,0.25),MAX(0,COUNTIF($E17:AH17,"&gt;0")-4))*AH17)</f>
        <v>0</v>
      </c>
      <c r="AI21" s="91">
        <f>IF(AI17=0,0,$C19*POWER(POWER(1-$C$11,0.25),MAX(0,COUNTIF($E17:AI17,"&gt;0")-4))*AI17)</f>
        <v>0</v>
      </c>
      <c r="AJ21" s="91">
        <f>IF(AJ17=0,0,$C19*POWER(POWER(1-$C$11,0.25),MAX(0,COUNTIF($E17:AJ17,"&gt;0")-4))*AJ17)</f>
        <v>0</v>
      </c>
      <c r="AK21" s="90">
        <f>IF(AK17=0,0,$C19*POWER(POWER(1-$C$11,0.25),MAX(0,COUNTIF($E17:AK17,"&gt;0")-4))*AK17)</f>
        <v>0</v>
      </c>
      <c r="AL21" s="91">
        <f>IF(AL17=0,0,$C19*POWER(POWER(1-$C$11,0.25),MAX(0,COUNTIF($E17:AL17,"&gt;0")-4))*AL17)</f>
        <v>0</v>
      </c>
      <c r="AM21" s="91">
        <f>IF(AM17=0,0,$C19*POWER(POWER(1-$C$11,0.25),MAX(0,COUNTIF($E17:AM17,"&gt;0")-4))*AM17)</f>
        <v>0</v>
      </c>
      <c r="AN21" s="91">
        <f>IF(AN17=0,0,$C19*POWER(POWER(1-$C$11,0.25),MAX(0,COUNTIF($E17:AN17,"&gt;0")-4))*AN17)</f>
        <v>0</v>
      </c>
      <c r="AO21" s="90">
        <f>IF(AO17=0,0,$C19*POWER(POWER(1-$C$11,0.25),MAX(0,COUNTIF($E17:AO17,"&gt;0")-4))*AO17)</f>
        <v>0</v>
      </c>
      <c r="AP21" s="91">
        <f>IF(AP17=0,0,$C19*POWER(POWER(1-$C$11,0.25),MAX(0,COUNTIF($E17:AP17,"&gt;0")-4))*AP17)</f>
        <v>0</v>
      </c>
      <c r="AQ21" s="91">
        <f>IF(AQ17=0,0,$C19*POWER(POWER(1-$C$11,0.25),MAX(0,COUNTIF($E17:AQ17,"&gt;0")-4))*AQ17)</f>
        <v>0</v>
      </c>
      <c r="AR21" s="91">
        <f>IF(AR17=0,0,$C19*POWER(POWER(1-$C$11,0.25),MAX(0,COUNTIF($E17:AR17,"&gt;0")-4))*AR17)</f>
        <v>0</v>
      </c>
      <c r="AS21" s="90">
        <f>IF(AS17=0,0,$C19*POWER(POWER(1-$C$11,0.25),MAX(0,COUNTIF($E17:AS17,"&gt;0")-4))*AS17)</f>
        <v>0</v>
      </c>
      <c r="AT21" s="91">
        <f>IF(AT17=0,0,$C19*POWER(POWER(1-$C$11,0.25),MAX(0,COUNTIF($E17:AT17,"&gt;0")-4))*AT17)</f>
        <v>0</v>
      </c>
      <c r="AU21" s="91">
        <f>IF(AU17=0,0,$C19*POWER(POWER(1-$C$11,0.25),MAX(0,COUNTIF($E17:AU17,"&gt;0")-4))*AU17)</f>
        <v>0</v>
      </c>
      <c r="AV21" s="91">
        <f>IF(AV17=0,0,$C19*POWER(POWER(1-$C$11,0.25),MAX(0,COUNTIF($E17:AV17,"&gt;0")-4))*AV17)</f>
        <v>0</v>
      </c>
      <c r="AW21" s="281"/>
      <c r="AX21" s="261"/>
      <c r="AY21" s="261"/>
      <c r="AZ21" s="282"/>
    </row>
    <row r="22" spans="2:52" x14ac:dyDescent="0.35">
      <c r="B22" s="21" t="s">
        <v>102</v>
      </c>
      <c r="C22" s="36"/>
      <c r="D22" s="21"/>
      <c r="E22" s="66"/>
      <c r="F22" s="38"/>
      <c r="G22" s="38"/>
      <c r="H22" s="67"/>
      <c r="I22" s="38"/>
      <c r="J22" s="38"/>
      <c r="K22" s="38"/>
      <c r="L22" s="67"/>
      <c r="M22" s="66"/>
      <c r="N22" s="38"/>
      <c r="O22" s="38"/>
      <c r="P22" s="67"/>
      <c r="Q22" s="66"/>
      <c r="R22" s="38"/>
      <c r="S22" s="38"/>
      <c r="T22" s="67"/>
      <c r="U22" s="66"/>
      <c r="V22" s="38"/>
      <c r="W22" s="38"/>
      <c r="X22" s="67"/>
      <c r="Y22" s="66"/>
      <c r="Z22" s="38"/>
      <c r="AA22" s="38"/>
      <c r="AB22" s="67"/>
      <c r="AC22" s="66"/>
      <c r="AD22" s="38"/>
      <c r="AE22" s="38"/>
      <c r="AF22" s="67"/>
      <c r="AG22" s="66"/>
      <c r="AH22" s="38"/>
      <c r="AI22" s="38"/>
      <c r="AJ22" s="67"/>
      <c r="AK22" s="66"/>
      <c r="AL22" s="38"/>
      <c r="AM22" s="38"/>
      <c r="AN22" s="67"/>
      <c r="AO22" s="66"/>
      <c r="AP22" s="38"/>
      <c r="AQ22" s="38"/>
      <c r="AR22" s="38"/>
      <c r="AS22" s="66"/>
      <c r="AT22" s="38"/>
      <c r="AU22" s="38"/>
      <c r="AV22" s="67"/>
      <c r="AW22" s="281"/>
      <c r="AX22" s="261"/>
      <c r="AY22" s="261"/>
      <c r="AZ22" s="282"/>
    </row>
    <row r="23" spans="2:52" ht="15" thickBot="1" x14ac:dyDescent="0.4">
      <c r="B23" s="19" t="s">
        <v>103</v>
      </c>
      <c r="C23" s="69"/>
      <c r="D23" s="19"/>
      <c r="E23" s="70"/>
      <c r="F23" s="71"/>
      <c r="G23" s="71"/>
      <c r="H23" s="72"/>
      <c r="I23" s="71"/>
      <c r="J23" s="71"/>
      <c r="K23" s="71"/>
      <c r="L23" s="72"/>
      <c r="M23" s="70"/>
      <c r="N23" s="71"/>
      <c r="O23" s="71"/>
      <c r="P23" s="72"/>
      <c r="Q23" s="70"/>
      <c r="R23" s="71"/>
      <c r="S23" s="71"/>
      <c r="T23" s="72"/>
      <c r="U23" s="70"/>
      <c r="V23" s="71"/>
      <c r="W23" s="71"/>
      <c r="X23" s="72"/>
      <c r="Y23" s="70"/>
      <c r="Z23" s="71"/>
      <c r="AA23" s="71"/>
      <c r="AB23" s="72"/>
      <c r="AC23" s="70"/>
      <c r="AD23" s="71"/>
      <c r="AE23" s="71"/>
      <c r="AF23" s="72"/>
      <c r="AG23" s="70"/>
      <c r="AH23" s="71"/>
      <c r="AI23" s="71"/>
      <c r="AJ23" s="72"/>
      <c r="AK23" s="70"/>
      <c r="AL23" s="71"/>
      <c r="AM23" s="71"/>
      <c r="AN23" s="72"/>
      <c r="AO23" s="70"/>
      <c r="AP23" s="71"/>
      <c r="AQ23" s="71"/>
      <c r="AR23" s="71"/>
      <c r="AS23" s="70"/>
      <c r="AT23" s="71"/>
      <c r="AU23" s="71"/>
      <c r="AV23" s="72"/>
      <c r="AW23" s="283"/>
      <c r="AX23" s="284"/>
      <c r="AY23" s="284"/>
      <c r="AZ23" s="285"/>
    </row>
    <row r="26" spans="2:52" x14ac:dyDescent="0.35">
      <c r="B26" s="297" t="s">
        <v>116</v>
      </c>
      <c r="C26" s="297"/>
    </row>
    <row r="27" spans="2:52" x14ac:dyDescent="0.35">
      <c r="B27" s="297"/>
      <c r="C27" s="297"/>
    </row>
    <row r="28" spans="2:52" ht="15" thickBot="1" x14ac:dyDescent="0.4"/>
    <row r="29" spans="2:52" x14ac:dyDescent="0.35">
      <c r="B29" s="18"/>
      <c r="C29" s="18"/>
      <c r="D29" s="22" t="s">
        <v>86</v>
      </c>
      <c r="E29" s="286">
        <f>'BC Summary US$'!B17</f>
        <v>2022</v>
      </c>
      <c r="F29" s="287"/>
      <c r="G29" s="287"/>
      <c r="H29" s="288"/>
      <c r="I29" s="275">
        <f>E29+1</f>
        <v>2023</v>
      </c>
      <c r="J29" s="276"/>
      <c r="K29" s="276"/>
      <c r="L29" s="277"/>
      <c r="M29" s="275">
        <f t="shared" ref="M29" si="10">I29+1</f>
        <v>2024</v>
      </c>
      <c r="N29" s="276"/>
      <c r="O29" s="276"/>
      <c r="P29" s="277"/>
      <c r="Q29" s="275">
        <f t="shared" ref="Q29" si="11">M29+1</f>
        <v>2025</v>
      </c>
      <c r="R29" s="276"/>
      <c r="S29" s="276"/>
      <c r="T29" s="277"/>
      <c r="U29" s="275">
        <f t="shared" ref="U29" si="12">Q29+1</f>
        <v>2026</v>
      </c>
      <c r="V29" s="276"/>
      <c r="W29" s="276"/>
      <c r="X29" s="277"/>
      <c r="Y29" s="275">
        <f t="shared" ref="Y29" si="13">U29+1</f>
        <v>2027</v>
      </c>
      <c r="Z29" s="276"/>
      <c r="AA29" s="276"/>
      <c r="AB29" s="277"/>
      <c r="AC29" s="275">
        <f t="shared" ref="AC29" si="14">Y29+1</f>
        <v>2028</v>
      </c>
      <c r="AD29" s="276"/>
      <c r="AE29" s="276"/>
      <c r="AF29" s="277"/>
      <c r="AG29" s="275">
        <f t="shared" ref="AG29" si="15">AC29+1</f>
        <v>2029</v>
      </c>
      <c r="AH29" s="276"/>
      <c r="AI29" s="276"/>
      <c r="AJ29" s="277"/>
      <c r="AK29" s="275">
        <f t="shared" ref="AK29" si="16">AG29+1</f>
        <v>2030</v>
      </c>
      <c r="AL29" s="276"/>
      <c r="AM29" s="276"/>
      <c r="AN29" s="277"/>
      <c r="AO29" s="275">
        <f t="shared" ref="AO29" si="17">AK29+1</f>
        <v>2031</v>
      </c>
      <c r="AP29" s="276"/>
      <c r="AQ29" s="276"/>
      <c r="AR29" s="277"/>
      <c r="AS29" s="275">
        <f t="shared" ref="AS29" si="18">AO29+1</f>
        <v>2032</v>
      </c>
      <c r="AT29" s="276"/>
      <c r="AU29" s="276"/>
      <c r="AV29" s="277"/>
      <c r="AW29" s="286" t="s">
        <v>87</v>
      </c>
      <c r="AX29" s="287"/>
      <c r="AY29" s="287"/>
      <c r="AZ29" s="288"/>
    </row>
    <row r="30" spans="2:52" ht="15" thickBot="1" x14ac:dyDescent="0.4">
      <c r="B30" s="19"/>
      <c r="C30" s="19"/>
      <c r="D30" s="19"/>
      <c r="E30" s="24" t="s">
        <v>88</v>
      </c>
      <c r="F30" s="16" t="s">
        <v>89</v>
      </c>
      <c r="G30" s="16" t="s">
        <v>90</v>
      </c>
      <c r="H30" s="17" t="s">
        <v>91</v>
      </c>
      <c r="I30" s="24" t="s">
        <v>88</v>
      </c>
      <c r="J30" s="16" t="s">
        <v>89</v>
      </c>
      <c r="K30" s="16" t="s">
        <v>90</v>
      </c>
      <c r="L30" s="17" t="s">
        <v>91</v>
      </c>
      <c r="M30" s="24" t="s">
        <v>88</v>
      </c>
      <c r="N30" s="16" t="s">
        <v>89</v>
      </c>
      <c r="O30" s="16" t="s">
        <v>90</v>
      </c>
      <c r="P30" s="17" t="s">
        <v>91</v>
      </c>
      <c r="Q30" s="24" t="s">
        <v>88</v>
      </c>
      <c r="R30" s="16" t="s">
        <v>89</v>
      </c>
      <c r="S30" s="16" t="s">
        <v>90</v>
      </c>
      <c r="T30" s="17" t="s">
        <v>91</v>
      </c>
      <c r="U30" s="24" t="s">
        <v>88</v>
      </c>
      <c r="V30" s="16" t="s">
        <v>89</v>
      </c>
      <c r="W30" s="16" t="s">
        <v>90</v>
      </c>
      <c r="X30" s="17" t="s">
        <v>91</v>
      </c>
      <c r="Y30" s="24" t="s">
        <v>88</v>
      </c>
      <c r="Z30" s="16" t="s">
        <v>89</v>
      </c>
      <c r="AA30" s="16" t="s">
        <v>90</v>
      </c>
      <c r="AB30" s="17" t="s">
        <v>91</v>
      </c>
      <c r="AC30" s="24" t="s">
        <v>88</v>
      </c>
      <c r="AD30" s="16" t="s">
        <v>89</v>
      </c>
      <c r="AE30" s="16" t="s">
        <v>90</v>
      </c>
      <c r="AF30" s="17" t="s">
        <v>91</v>
      </c>
      <c r="AG30" s="24" t="s">
        <v>88</v>
      </c>
      <c r="AH30" s="16" t="s">
        <v>89</v>
      </c>
      <c r="AI30" s="16" t="s">
        <v>90</v>
      </c>
      <c r="AJ30" s="17" t="s">
        <v>91</v>
      </c>
      <c r="AK30" s="24" t="s">
        <v>88</v>
      </c>
      <c r="AL30" s="16" t="s">
        <v>89</v>
      </c>
      <c r="AM30" s="16" t="s">
        <v>90</v>
      </c>
      <c r="AN30" s="17" t="s">
        <v>91</v>
      </c>
      <c r="AO30" s="24" t="s">
        <v>88</v>
      </c>
      <c r="AP30" s="16" t="s">
        <v>89</v>
      </c>
      <c r="AQ30" s="16" t="s">
        <v>90</v>
      </c>
      <c r="AR30" s="17" t="s">
        <v>91</v>
      </c>
      <c r="AS30" s="24" t="s">
        <v>88</v>
      </c>
      <c r="AT30" s="16" t="s">
        <v>89</v>
      </c>
      <c r="AU30" s="16" t="s">
        <v>90</v>
      </c>
      <c r="AV30" s="17" t="s">
        <v>91</v>
      </c>
      <c r="AW30" s="289"/>
      <c r="AX30" s="290"/>
      <c r="AY30" s="290"/>
      <c r="AZ30" s="291"/>
    </row>
    <row r="31" spans="2:52" x14ac:dyDescent="0.35">
      <c r="B31" s="22" t="s">
        <v>92</v>
      </c>
      <c r="C31" s="68" t="s">
        <v>114</v>
      </c>
      <c r="D31" s="18"/>
      <c r="E31" s="27"/>
      <c r="F31" s="28"/>
      <c r="G31" s="28"/>
      <c r="H31" s="29"/>
      <c r="I31" s="28"/>
      <c r="J31" s="28"/>
      <c r="K31" s="28"/>
      <c r="L31" s="29"/>
      <c r="M31" s="27"/>
      <c r="N31" s="28"/>
      <c r="O31" s="28"/>
      <c r="P31" s="29"/>
      <c r="Q31" s="27"/>
      <c r="R31" s="28"/>
      <c r="S31" s="28"/>
      <c r="T31" s="29"/>
      <c r="U31" s="27"/>
      <c r="V31" s="28"/>
      <c r="W31" s="28"/>
      <c r="X31" s="29"/>
      <c r="Y31" s="27"/>
      <c r="Z31" s="28"/>
      <c r="AA31" s="28"/>
      <c r="AB31" s="29"/>
      <c r="AC31" s="27"/>
      <c r="AD31" s="28"/>
      <c r="AE31" s="28"/>
      <c r="AF31" s="29"/>
      <c r="AG31" s="27"/>
      <c r="AH31" s="28"/>
      <c r="AI31" s="28"/>
      <c r="AJ31" s="29"/>
      <c r="AK31" s="27"/>
      <c r="AL31" s="28"/>
      <c r="AM31" s="28"/>
      <c r="AN31" s="29"/>
      <c r="AO31" s="27"/>
      <c r="AP31" s="28"/>
      <c r="AQ31" s="28"/>
      <c r="AR31" s="28"/>
      <c r="AS31" s="27"/>
      <c r="AT31" s="28"/>
      <c r="AU31" s="28"/>
      <c r="AV31" s="29"/>
      <c r="AW31" s="278"/>
      <c r="AX31" s="279"/>
      <c r="AY31" s="279"/>
      <c r="AZ31" s="280"/>
    </row>
    <row r="32" spans="2:52" x14ac:dyDescent="0.35">
      <c r="B32" s="21" t="s">
        <v>93</v>
      </c>
      <c r="C32" s="36"/>
      <c r="D32" s="21" t="s">
        <v>94</v>
      </c>
      <c r="E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F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G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H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I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J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K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L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M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N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O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P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Q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R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S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T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U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V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W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X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Y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Z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A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B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C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D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E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F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G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H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I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J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K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L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M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N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O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P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Q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R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S32" s="90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T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U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V32" s="91">
        <f>IFERROR(lifecyclevolume($C32,$C36,$C35,MAX(0,((COLUMN()-COLUMN($E$17)))*3-(($C37-$E$14)*12+$C38*3-4)))+lifecyclevolume($C32,$C36,$C35,MAX(0,1+((COLUMN()-COLUMN($E$17)))*3-(($C37-$E$14)*12+$C38*3-4)))+lifecyclevolume($C32,$C36,$C35,MAX(0,2+((COLUMN()-COLUMN($E$17)))*3-(($C37-$E$14)*12+$C38*3-4))),0)</f>
        <v>0</v>
      </c>
      <c r="AW32" s="281"/>
      <c r="AX32" s="261"/>
      <c r="AY32" s="261"/>
      <c r="AZ32" s="282"/>
    </row>
    <row r="33" spans="2:52" x14ac:dyDescent="0.35">
      <c r="B33" s="21" t="s">
        <v>95</v>
      </c>
      <c r="C33" s="20"/>
      <c r="D33" s="21" t="s">
        <v>96</v>
      </c>
      <c r="E33" s="90">
        <f>IF(E32=0,0,$C33*POWER(POWER(1-$C$10,0.25),MAX(0,COUNTIF($E32:E32,"&gt;0")-4)))</f>
        <v>0</v>
      </c>
      <c r="F33" s="91">
        <f>IF(F32=0,0,$C33*POWER(POWER(1-$C$10,0.25),MAX(0,COUNTIF($E32:F32,"&gt;0")-4)))</f>
        <v>0</v>
      </c>
      <c r="G33" s="91">
        <f>IF(G32=0,0,$C33*POWER(POWER(1-$C$10,0.25),MAX(0,COUNTIF($E32:G32,"&gt;0")-4)))</f>
        <v>0</v>
      </c>
      <c r="H33" s="91">
        <f>IF(H32=0,0,$C33*POWER(POWER(1-$C$10,0.25),MAX(0,COUNTIF($E32:H32,"&gt;0")-4)))</f>
        <v>0</v>
      </c>
      <c r="I33" s="90">
        <f>IF(I32=0,0,$C33*POWER(POWER(1-$C$10,0.25),MAX(0,COUNTIF($E32:I32,"&gt;0")-4)))</f>
        <v>0</v>
      </c>
      <c r="J33" s="91">
        <f>IF(J32=0,0,$C33*POWER(POWER(1-$C$10,0.25),MAX(0,COUNTIF($E32:J32,"&gt;0")-4)))</f>
        <v>0</v>
      </c>
      <c r="K33" s="91">
        <f>IF(K32=0,0,$C33*POWER(POWER(1-$C$10,0.25),MAX(0,COUNTIF($E32:K32,"&gt;0")-4)))</f>
        <v>0</v>
      </c>
      <c r="L33" s="91">
        <f>IF(L32=0,0,$C33*POWER(POWER(1-$C$10,0.25),MAX(0,COUNTIF($E32:L32,"&gt;0")-4)))</f>
        <v>0</v>
      </c>
      <c r="M33" s="90">
        <f>IF(M32=0,0,$C33*POWER(POWER(1-$C$10,0.25),MAX(0,COUNTIF($E32:M32,"&gt;0")-4)))</f>
        <v>0</v>
      </c>
      <c r="N33" s="91">
        <f>IF(N32=0,0,$C33*POWER(POWER(1-$C$10,0.25),MAX(0,COUNTIF($E32:N32,"&gt;0")-4)))</f>
        <v>0</v>
      </c>
      <c r="O33" s="91">
        <f>IF(O32=0,0,$C33*POWER(POWER(1-$C$10,0.25),MAX(0,COUNTIF($E32:O32,"&gt;0")-4)))</f>
        <v>0</v>
      </c>
      <c r="P33" s="91">
        <f>IF(P32=0,0,$C33*POWER(POWER(1-$C$10,0.25),MAX(0,COUNTIF($E32:P32,"&gt;0")-4)))</f>
        <v>0</v>
      </c>
      <c r="Q33" s="90">
        <f>IF(Q32=0,0,$C33*POWER(POWER(1-$C$10,0.25),MAX(0,COUNTIF($E32:Q32,"&gt;0")-4)))</f>
        <v>0</v>
      </c>
      <c r="R33" s="91">
        <f>IF(R32=0,0,$C33*POWER(POWER(1-$C$10,0.25),MAX(0,COUNTIF($E32:R32,"&gt;0")-4)))</f>
        <v>0</v>
      </c>
      <c r="S33" s="91">
        <f>IF(S32=0,0,$C33*POWER(POWER(1-$C$10,0.25),MAX(0,COUNTIF($E32:S32,"&gt;0")-4)))</f>
        <v>0</v>
      </c>
      <c r="T33" s="91">
        <f>IF(T32=0,0,$C33*POWER(POWER(1-$C$10,0.25),MAX(0,COUNTIF($E32:T32,"&gt;0")-4)))</f>
        <v>0</v>
      </c>
      <c r="U33" s="90">
        <f>IF(U32=0,0,$C33*POWER(POWER(1-$C$10,0.25),MAX(0,COUNTIF($E32:U32,"&gt;0")-4)))</f>
        <v>0</v>
      </c>
      <c r="V33" s="91">
        <f>IF(V32=0,0,$C33*POWER(POWER(1-$C$10,0.25),MAX(0,COUNTIF($E32:V32,"&gt;0")-4)))</f>
        <v>0</v>
      </c>
      <c r="W33" s="91">
        <f>IF(W32=0,0,$C33*POWER(POWER(1-$C$10,0.25),MAX(0,COUNTIF($E32:W32,"&gt;0")-4)))</f>
        <v>0</v>
      </c>
      <c r="X33" s="91">
        <f>IF(X32=0,0,$C33*POWER(POWER(1-$C$10,0.25),MAX(0,COUNTIF($E32:X32,"&gt;0")-4)))</f>
        <v>0</v>
      </c>
      <c r="Y33" s="90">
        <f>IF(Y32=0,0,$C33*POWER(POWER(1-$C$10,0.25),MAX(0,COUNTIF($E32:Y32,"&gt;0")-4)))</f>
        <v>0</v>
      </c>
      <c r="Z33" s="91">
        <f>IF(Z32=0,0,$C33*POWER(POWER(1-$C$10,0.25),MAX(0,COUNTIF($E32:Z32,"&gt;0")-4)))</f>
        <v>0</v>
      </c>
      <c r="AA33" s="91">
        <f>IF(AA32=0,0,$C33*POWER(POWER(1-$C$10,0.25),MAX(0,COUNTIF($E32:AA32,"&gt;0")-4)))</f>
        <v>0</v>
      </c>
      <c r="AB33" s="91">
        <f>IF(AB32=0,0,$C33*POWER(POWER(1-$C$10,0.25),MAX(0,COUNTIF($E32:AB32,"&gt;0")-4)))</f>
        <v>0</v>
      </c>
      <c r="AC33" s="90">
        <f>IF(AC32=0,0,$C33*POWER(POWER(1-$C$10,0.25),MAX(0,COUNTIF($E32:AC32,"&gt;0")-4)))</f>
        <v>0</v>
      </c>
      <c r="AD33" s="91">
        <f>IF(AD32=0,0,$C33*POWER(POWER(1-$C$10,0.25),MAX(0,COUNTIF($E32:AD32,"&gt;0")-4)))</f>
        <v>0</v>
      </c>
      <c r="AE33" s="91">
        <f>IF(AE32=0,0,$C33*POWER(POWER(1-$C$10,0.25),MAX(0,COUNTIF($E32:AE32,"&gt;0")-4)))</f>
        <v>0</v>
      </c>
      <c r="AF33" s="91">
        <f>IF(AF32=0,0,$C33*POWER(POWER(1-$C$10,0.25),MAX(0,COUNTIF($E32:AF32,"&gt;0")-4)))</f>
        <v>0</v>
      </c>
      <c r="AG33" s="90">
        <f>IF(AG32=0,0,$C33*POWER(POWER(1-$C$10,0.25),MAX(0,COUNTIF($E32:AG32,"&gt;0")-4)))</f>
        <v>0</v>
      </c>
      <c r="AH33" s="91">
        <f>IF(AH32=0,0,$C33*POWER(POWER(1-$C$10,0.25),MAX(0,COUNTIF($E32:AH32,"&gt;0")-4)))</f>
        <v>0</v>
      </c>
      <c r="AI33" s="91">
        <f>IF(AI32=0,0,$C33*POWER(POWER(1-$C$10,0.25),MAX(0,COUNTIF($E32:AI32,"&gt;0")-4)))</f>
        <v>0</v>
      </c>
      <c r="AJ33" s="91">
        <f>IF(AJ32=0,0,$C33*POWER(POWER(1-$C$10,0.25),MAX(0,COUNTIF($E32:AJ32,"&gt;0")-4)))</f>
        <v>0</v>
      </c>
      <c r="AK33" s="90">
        <f>IF(AK32=0,0,$C33*POWER(POWER(1-$C$10,0.25),MAX(0,COUNTIF($E32:AK32,"&gt;0")-4)))</f>
        <v>0</v>
      </c>
      <c r="AL33" s="91">
        <f>IF(AL32=0,0,$C33*POWER(POWER(1-$C$10,0.25),MAX(0,COUNTIF($E32:AL32,"&gt;0")-4)))</f>
        <v>0</v>
      </c>
      <c r="AM33" s="91">
        <f>IF(AM32=0,0,$C33*POWER(POWER(1-$C$10,0.25),MAX(0,COUNTIF($E32:AM32,"&gt;0")-4)))</f>
        <v>0</v>
      </c>
      <c r="AN33" s="91">
        <f>IF(AN32=0,0,$C33*POWER(POWER(1-$C$10,0.25),MAX(0,COUNTIF($E32:AN32,"&gt;0")-4)))</f>
        <v>0</v>
      </c>
      <c r="AO33" s="90">
        <f>IF(AO32=0,0,$C33*POWER(POWER(1-$C$10,0.25),MAX(0,COUNTIF($E32:AO32,"&gt;0")-4)))</f>
        <v>0</v>
      </c>
      <c r="AP33" s="91">
        <f>IF(AP32=0,0,$C33*POWER(POWER(1-$C$10,0.25),MAX(0,COUNTIF($E32:AP32,"&gt;0")-4)))</f>
        <v>0</v>
      </c>
      <c r="AQ33" s="91">
        <f>IF(AQ32=0,0,$C33*POWER(POWER(1-$C$10,0.25),MAX(0,COUNTIF($E32:AQ32,"&gt;0")-4)))</f>
        <v>0</v>
      </c>
      <c r="AR33" s="91">
        <f>IF(AR32=0,0,$C33*POWER(POWER(1-$C$10,0.25),MAX(0,COUNTIF($E32:AR32,"&gt;0")-4)))</f>
        <v>0</v>
      </c>
      <c r="AS33" s="90">
        <f>IF(AS32=0,0,$C33*POWER(POWER(1-$C$10,0.25),MAX(0,COUNTIF($E32:AS32,"&gt;0")-4)))</f>
        <v>0</v>
      </c>
      <c r="AT33" s="91">
        <f>IF(AT32=0,0,$C33*POWER(POWER(1-$C$10,0.25),MAX(0,COUNTIF($E32:AT32,"&gt;0")-4)))</f>
        <v>0</v>
      </c>
      <c r="AU33" s="91">
        <f>IF(AU32=0,0,$C33*POWER(POWER(1-$C$10,0.25),MAX(0,COUNTIF($E32:AU32,"&gt;0")-4)))</f>
        <v>0</v>
      </c>
      <c r="AV33" s="91">
        <f>IF(AV32=0,0,$C33*POWER(POWER(1-$C$10,0.25),MAX(0,COUNTIF($E32:AV32,"&gt;0")-4)))</f>
        <v>0</v>
      </c>
      <c r="AW33" s="281"/>
      <c r="AX33" s="261"/>
      <c r="AY33" s="261"/>
      <c r="AZ33" s="282"/>
    </row>
    <row r="34" spans="2:52" x14ac:dyDescent="0.35">
      <c r="B34" s="21" t="s">
        <v>97</v>
      </c>
      <c r="C34" s="20"/>
      <c r="D34" s="21"/>
      <c r="E34" s="90"/>
      <c r="F34" s="91"/>
      <c r="G34" s="91"/>
      <c r="H34" s="92"/>
      <c r="I34" s="91"/>
      <c r="J34" s="91"/>
      <c r="K34" s="91"/>
      <c r="L34" s="92"/>
      <c r="M34" s="90"/>
      <c r="N34" s="91"/>
      <c r="O34" s="91"/>
      <c r="P34" s="92"/>
      <c r="Q34" s="90"/>
      <c r="R34" s="91"/>
      <c r="S34" s="91"/>
      <c r="T34" s="92"/>
      <c r="U34" s="90"/>
      <c r="V34" s="91"/>
      <c r="W34" s="91"/>
      <c r="X34" s="92"/>
      <c r="Y34" s="90"/>
      <c r="Z34" s="91"/>
      <c r="AA34" s="91"/>
      <c r="AB34" s="92"/>
      <c r="AC34" s="90"/>
      <c r="AD34" s="91"/>
      <c r="AE34" s="91"/>
      <c r="AF34" s="92"/>
      <c r="AG34" s="90"/>
      <c r="AH34" s="91"/>
      <c r="AI34" s="91"/>
      <c r="AJ34" s="92"/>
      <c r="AK34" s="90"/>
      <c r="AL34" s="91"/>
      <c r="AM34" s="91"/>
      <c r="AN34" s="92"/>
      <c r="AO34" s="90"/>
      <c r="AP34" s="91"/>
      <c r="AQ34" s="91"/>
      <c r="AR34" s="91"/>
      <c r="AS34" s="90"/>
      <c r="AT34" s="91"/>
      <c r="AU34" s="91"/>
      <c r="AV34" s="92"/>
      <c r="AW34" s="281"/>
      <c r="AX34" s="261"/>
      <c r="AY34" s="261"/>
      <c r="AZ34" s="282"/>
    </row>
    <row r="35" spans="2:52" x14ac:dyDescent="0.35">
      <c r="B35" s="21" t="s">
        <v>115</v>
      </c>
      <c r="C35" s="36"/>
      <c r="D35" s="21" t="s">
        <v>99</v>
      </c>
      <c r="E35" s="90">
        <f>IFERROR(E32*E33,"")</f>
        <v>0</v>
      </c>
      <c r="F35" s="91">
        <f t="shared" ref="F35:AV35" si="19">IFERROR(F32*F33,"")</f>
        <v>0</v>
      </c>
      <c r="G35" s="91">
        <f t="shared" si="19"/>
        <v>0</v>
      </c>
      <c r="H35" s="92">
        <f t="shared" si="19"/>
        <v>0</v>
      </c>
      <c r="I35" s="91">
        <f t="shared" si="19"/>
        <v>0</v>
      </c>
      <c r="J35" s="91">
        <f t="shared" si="19"/>
        <v>0</v>
      </c>
      <c r="K35" s="91">
        <f t="shared" si="19"/>
        <v>0</v>
      </c>
      <c r="L35" s="91">
        <f t="shared" si="19"/>
        <v>0</v>
      </c>
      <c r="M35" s="90">
        <f t="shared" si="19"/>
        <v>0</v>
      </c>
      <c r="N35" s="91">
        <f t="shared" si="19"/>
        <v>0</v>
      </c>
      <c r="O35" s="91">
        <f t="shared" si="19"/>
        <v>0</v>
      </c>
      <c r="P35" s="91">
        <f t="shared" si="19"/>
        <v>0</v>
      </c>
      <c r="Q35" s="90">
        <f t="shared" si="19"/>
        <v>0</v>
      </c>
      <c r="R35" s="91">
        <f t="shared" si="19"/>
        <v>0</v>
      </c>
      <c r="S35" s="91">
        <f t="shared" si="19"/>
        <v>0</v>
      </c>
      <c r="T35" s="91">
        <f t="shared" si="19"/>
        <v>0</v>
      </c>
      <c r="U35" s="90">
        <f t="shared" si="19"/>
        <v>0</v>
      </c>
      <c r="V35" s="91">
        <f t="shared" si="19"/>
        <v>0</v>
      </c>
      <c r="W35" s="91">
        <f t="shared" si="19"/>
        <v>0</v>
      </c>
      <c r="X35" s="91">
        <f t="shared" si="19"/>
        <v>0</v>
      </c>
      <c r="Y35" s="90">
        <f t="shared" si="19"/>
        <v>0</v>
      </c>
      <c r="Z35" s="91">
        <f t="shared" si="19"/>
        <v>0</v>
      </c>
      <c r="AA35" s="91">
        <f t="shared" si="19"/>
        <v>0</v>
      </c>
      <c r="AB35" s="91">
        <f t="shared" si="19"/>
        <v>0</v>
      </c>
      <c r="AC35" s="90">
        <f t="shared" si="19"/>
        <v>0</v>
      </c>
      <c r="AD35" s="91">
        <f t="shared" si="19"/>
        <v>0</v>
      </c>
      <c r="AE35" s="91">
        <f t="shared" si="19"/>
        <v>0</v>
      </c>
      <c r="AF35" s="91">
        <f t="shared" si="19"/>
        <v>0</v>
      </c>
      <c r="AG35" s="90">
        <f t="shared" si="19"/>
        <v>0</v>
      </c>
      <c r="AH35" s="91">
        <f t="shared" si="19"/>
        <v>0</v>
      </c>
      <c r="AI35" s="91">
        <f t="shared" si="19"/>
        <v>0</v>
      </c>
      <c r="AJ35" s="91">
        <f t="shared" si="19"/>
        <v>0</v>
      </c>
      <c r="AK35" s="90">
        <f t="shared" si="19"/>
        <v>0</v>
      </c>
      <c r="AL35" s="91">
        <f t="shared" si="19"/>
        <v>0</v>
      </c>
      <c r="AM35" s="91">
        <f t="shared" si="19"/>
        <v>0</v>
      </c>
      <c r="AN35" s="91">
        <f t="shared" si="19"/>
        <v>0</v>
      </c>
      <c r="AO35" s="90">
        <f t="shared" si="19"/>
        <v>0</v>
      </c>
      <c r="AP35" s="91">
        <f t="shared" si="19"/>
        <v>0</v>
      </c>
      <c r="AQ35" s="91">
        <f t="shared" si="19"/>
        <v>0</v>
      </c>
      <c r="AR35" s="91">
        <f t="shared" si="19"/>
        <v>0</v>
      </c>
      <c r="AS35" s="90">
        <f t="shared" si="19"/>
        <v>0</v>
      </c>
      <c r="AT35" s="91">
        <f t="shared" si="19"/>
        <v>0</v>
      </c>
      <c r="AU35" s="91">
        <f t="shared" si="19"/>
        <v>0</v>
      </c>
      <c r="AV35" s="92">
        <f t="shared" si="19"/>
        <v>0</v>
      </c>
      <c r="AW35" s="281"/>
      <c r="AX35" s="261"/>
      <c r="AY35" s="261"/>
      <c r="AZ35" s="282"/>
    </row>
    <row r="36" spans="2:52" x14ac:dyDescent="0.35">
      <c r="B36" s="21" t="s">
        <v>100</v>
      </c>
      <c r="C36" s="36"/>
      <c r="D36" s="21" t="s">
        <v>101</v>
      </c>
      <c r="E36" s="90">
        <f>IF(E32=0,0,$C34*POWER(POWER(1-$C$11,0.25),MAX(0,COUNTIF($E32:E32,"&gt;0")-4))*E32)</f>
        <v>0</v>
      </c>
      <c r="F36" s="91">
        <f>IF(F32=0,0,$C34*POWER(POWER(1-$C$11,0.25),MAX(0,COUNTIF($E32:F32,"&gt;0")-4))*F32)</f>
        <v>0</v>
      </c>
      <c r="G36" s="91">
        <f>IF(G32=0,0,$C34*POWER(POWER(1-$C$11,0.25),MAX(0,COUNTIF($E32:G32,"&gt;0")-4))*G32)</f>
        <v>0</v>
      </c>
      <c r="H36" s="91">
        <f>IF(H32=0,0,$C34*POWER(POWER(1-$C$11,0.25),MAX(0,COUNTIF($E32:H32,"&gt;0")-4))*H32)</f>
        <v>0</v>
      </c>
      <c r="I36" s="90">
        <f>IF(I32=0,0,$C34*POWER(POWER(1-$C$11,0.25),MAX(0,COUNTIF($E32:I32,"&gt;0")-4))*I32)</f>
        <v>0</v>
      </c>
      <c r="J36" s="91">
        <f>IF(J32=0,0,$C34*POWER(POWER(1-$C$11,0.25),MAX(0,COUNTIF($E32:J32,"&gt;0")-4))*J32)</f>
        <v>0</v>
      </c>
      <c r="K36" s="91">
        <f>IF(K32=0,0,$C34*POWER(POWER(1-$C$11,0.25),MAX(0,COUNTIF($E32:K32,"&gt;0")-4))*K32)</f>
        <v>0</v>
      </c>
      <c r="L36" s="91">
        <f>IF(L32=0,0,$C34*POWER(POWER(1-$C$11,0.25),MAX(0,COUNTIF($E32:L32,"&gt;0")-4))*L32)</f>
        <v>0</v>
      </c>
      <c r="M36" s="90">
        <f>IF(M32=0,0,$C34*POWER(POWER(1-$C$11,0.25),MAX(0,COUNTIF($E32:M32,"&gt;0")-4))*M32)</f>
        <v>0</v>
      </c>
      <c r="N36" s="91">
        <f>IF(N32=0,0,$C34*POWER(POWER(1-$C$11,0.25),MAX(0,COUNTIF($E32:N32,"&gt;0")-4))*N32)</f>
        <v>0</v>
      </c>
      <c r="O36" s="91">
        <f>IF(O32=0,0,$C34*POWER(POWER(1-$C$11,0.25),MAX(0,COUNTIF($E32:O32,"&gt;0")-4))*O32)</f>
        <v>0</v>
      </c>
      <c r="P36" s="91">
        <f>IF(P32=0,0,$C34*POWER(POWER(1-$C$11,0.25),MAX(0,COUNTIF($E32:P32,"&gt;0")-4))*P32)</f>
        <v>0</v>
      </c>
      <c r="Q36" s="90">
        <f>IF(Q32=0,0,$C34*POWER(POWER(1-$C$11,0.25),MAX(0,COUNTIF($E32:Q32,"&gt;0")-4))*Q32)</f>
        <v>0</v>
      </c>
      <c r="R36" s="91">
        <f>IF(R32=0,0,$C34*POWER(POWER(1-$C$11,0.25),MAX(0,COUNTIF($E32:R32,"&gt;0")-4))*R32)</f>
        <v>0</v>
      </c>
      <c r="S36" s="91">
        <f>IF(S32=0,0,$C34*POWER(POWER(1-$C$11,0.25),MAX(0,COUNTIF($E32:S32,"&gt;0")-4))*S32)</f>
        <v>0</v>
      </c>
      <c r="T36" s="91">
        <f>IF(T32=0,0,$C34*POWER(POWER(1-$C$11,0.25),MAX(0,COUNTIF($E32:T32,"&gt;0")-4))*T32)</f>
        <v>0</v>
      </c>
      <c r="U36" s="90">
        <f>IF(U32=0,0,$C34*POWER(POWER(1-$C$11,0.25),MAX(0,COUNTIF($E32:U32,"&gt;0")-4))*U32)</f>
        <v>0</v>
      </c>
      <c r="V36" s="91">
        <f>IF(V32=0,0,$C34*POWER(POWER(1-$C$11,0.25),MAX(0,COUNTIF($E32:V32,"&gt;0")-4))*V32)</f>
        <v>0</v>
      </c>
      <c r="W36" s="91">
        <f>IF(W32=0,0,$C34*POWER(POWER(1-$C$11,0.25),MAX(0,COUNTIF($E32:W32,"&gt;0")-4))*W32)</f>
        <v>0</v>
      </c>
      <c r="X36" s="91">
        <f>IF(X32=0,0,$C34*POWER(POWER(1-$C$11,0.25),MAX(0,COUNTIF($E32:X32,"&gt;0")-4))*X32)</f>
        <v>0</v>
      </c>
      <c r="Y36" s="90">
        <f>IF(Y32=0,0,$C34*POWER(POWER(1-$C$11,0.25),MAX(0,COUNTIF($E32:Y32,"&gt;0")-4))*Y32)</f>
        <v>0</v>
      </c>
      <c r="Z36" s="91">
        <f>IF(Z32=0,0,$C34*POWER(POWER(1-$C$11,0.25),MAX(0,COUNTIF($E32:Z32,"&gt;0")-4))*Z32)</f>
        <v>0</v>
      </c>
      <c r="AA36" s="91">
        <f>IF(AA32=0,0,$C34*POWER(POWER(1-$C$11,0.25),MAX(0,COUNTIF($E32:AA32,"&gt;0")-4))*AA32)</f>
        <v>0</v>
      </c>
      <c r="AB36" s="91">
        <f>IF(AB32=0,0,$C34*POWER(POWER(1-$C$11,0.25),MAX(0,COUNTIF($E32:AB32,"&gt;0")-4))*AB32)</f>
        <v>0</v>
      </c>
      <c r="AC36" s="90">
        <f>IF(AC32=0,0,$C34*POWER(POWER(1-$C$11,0.25),MAX(0,COUNTIF($E32:AC32,"&gt;0")-4))*AC32)</f>
        <v>0</v>
      </c>
      <c r="AD36" s="91">
        <f>IF(AD32=0,0,$C34*POWER(POWER(1-$C$11,0.25),MAX(0,COUNTIF($E32:AD32,"&gt;0")-4))*AD32)</f>
        <v>0</v>
      </c>
      <c r="AE36" s="91">
        <f>IF(AE32=0,0,$C34*POWER(POWER(1-$C$11,0.25),MAX(0,COUNTIF($E32:AE32,"&gt;0")-4))*AE32)</f>
        <v>0</v>
      </c>
      <c r="AF36" s="91">
        <f>IF(AF32=0,0,$C34*POWER(POWER(1-$C$11,0.25),MAX(0,COUNTIF($E32:AF32,"&gt;0")-4))*AF32)</f>
        <v>0</v>
      </c>
      <c r="AG36" s="90">
        <f>IF(AG32=0,0,$C34*POWER(POWER(1-$C$11,0.25),MAX(0,COUNTIF($E32:AG32,"&gt;0")-4))*AG32)</f>
        <v>0</v>
      </c>
      <c r="AH36" s="91">
        <f>IF(AH32=0,0,$C34*POWER(POWER(1-$C$11,0.25),MAX(0,COUNTIF($E32:AH32,"&gt;0")-4))*AH32)</f>
        <v>0</v>
      </c>
      <c r="AI36" s="91">
        <f>IF(AI32=0,0,$C34*POWER(POWER(1-$C$11,0.25),MAX(0,COUNTIF($E32:AI32,"&gt;0")-4))*AI32)</f>
        <v>0</v>
      </c>
      <c r="AJ36" s="91">
        <f>IF(AJ32=0,0,$C34*POWER(POWER(1-$C$11,0.25),MAX(0,COUNTIF($E32:AJ32,"&gt;0")-4))*AJ32)</f>
        <v>0</v>
      </c>
      <c r="AK36" s="90">
        <f>IF(AK32=0,0,$C34*POWER(POWER(1-$C$11,0.25),MAX(0,COUNTIF($E32:AK32,"&gt;0")-4))*AK32)</f>
        <v>0</v>
      </c>
      <c r="AL36" s="91">
        <f>IF(AL32=0,0,$C34*POWER(POWER(1-$C$11,0.25),MAX(0,COUNTIF($E32:AL32,"&gt;0")-4))*AL32)</f>
        <v>0</v>
      </c>
      <c r="AM36" s="91">
        <f>IF(AM32=0,0,$C34*POWER(POWER(1-$C$11,0.25),MAX(0,COUNTIF($E32:AM32,"&gt;0")-4))*AM32)</f>
        <v>0</v>
      </c>
      <c r="AN36" s="91">
        <f>IF(AN32=0,0,$C34*POWER(POWER(1-$C$11,0.25),MAX(0,COUNTIF($E32:AN32,"&gt;0")-4))*AN32)</f>
        <v>0</v>
      </c>
      <c r="AO36" s="90">
        <f>IF(AO32=0,0,$C34*POWER(POWER(1-$C$11,0.25),MAX(0,COUNTIF($E32:AO32,"&gt;0")-4))*AO32)</f>
        <v>0</v>
      </c>
      <c r="AP36" s="91">
        <f>IF(AP32=0,0,$C34*POWER(POWER(1-$C$11,0.25),MAX(0,COUNTIF($E32:AP32,"&gt;0")-4))*AP32)</f>
        <v>0</v>
      </c>
      <c r="AQ36" s="91">
        <f>IF(AQ32=0,0,$C34*POWER(POWER(1-$C$11,0.25),MAX(0,COUNTIF($E32:AQ32,"&gt;0")-4))*AQ32)</f>
        <v>0</v>
      </c>
      <c r="AR36" s="91">
        <f>IF(AR32=0,0,$C34*POWER(POWER(1-$C$11,0.25),MAX(0,COUNTIF($E32:AR32,"&gt;0")-4))*AR32)</f>
        <v>0</v>
      </c>
      <c r="AS36" s="90">
        <f>IF(AS32=0,0,$C34*POWER(POWER(1-$C$11,0.25),MAX(0,COUNTIF($E32:AS32,"&gt;0")-4))*AS32)</f>
        <v>0</v>
      </c>
      <c r="AT36" s="91">
        <f>IF(AT32=0,0,$C34*POWER(POWER(1-$C$11,0.25),MAX(0,COUNTIF($E32:AT32,"&gt;0")-4))*AT32)</f>
        <v>0</v>
      </c>
      <c r="AU36" s="91">
        <f>IF(AU32=0,0,$C34*POWER(POWER(1-$C$11,0.25),MAX(0,COUNTIF($E32:AU32,"&gt;0")-4))*AU32)</f>
        <v>0</v>
      </c>
      <c r="AV36" s="91">
        <f>IF(AV32=0,0,$C34*POWER(POWER(1-$C$11,0.25),MAX(0,COUNTIF($E32:AV32,"&gt;0")-4))*AV32)</f>
        <v>0</v>
      </c>
      <c r="AW36" s="281"/>
      <c r="AX36" s="261"/>
      <c r="AY36" s="261"/>
      <c r="AZ36" s="282"/>
    </row>
    <row r="37" spans="2:52" x14ac:dyDescent="0.35">
      <c r="B37" s="21" t="s">
        <v>102</v>
      </c>
      <c r="C37" s="36"/>
      <c r="D37" s="21"/>
      <c r="E37" s="66"/>
      <c r="F37" s="38"/>
      <c r="G37" s="38"/>
      <c r="H37" s="67"/>
      <c r="I37" s="38"/>
      <c r="J37" s="38"/>
      <c r="K37" s="38"/>
      <c r="L37" s="67"/>
      <c r="M37" s="66"/>
      <c r="N37" s="38"/>
      <c r="O37" s="38"/>
      <c r="P37" s="67"/>
      <c r="Q37" s="66"/>
      <c r="R37" s="38"/>
      <c r="S37" s="38"/>
      <c r="T37" s="67"/>
      <c r="U37" s="66"/>
      <c r="V37" s="38"/>
      <c r="W37" s="38"/>
      <c r="X37" s="67"/>
      <c r="Y37" s="66"/>
      <c r="Z37" s="38"/>
      <c r="AA37" s="38"/>
      <c r="AB37" s="67"/>
      <c r="AC37" s="66"/>
      <c r="AD37" s="38"/>
      <c r="AE37" s="38"/>
      <c r="AF37" s="67"/>
      <c r="AG37" s="66"/>
      <c r="AH37" s="38"/>
      <c r="AI37" s="38"/>
      <c r="AJ37" s="67"/>
      <c r="AK37" s="66"/>
      <c r="AL37" s="38"/>
      <c r="AM37" s="38"/>
      <c r="AN37" s="67"/>
      <c r="AO37" s="66"/>
      <c r="AP37" s="38"/>
      <c r="AQ37" s="38"/>
      <c r="AR37" s="38"/>
      <c r="AS37" s="66"/>
      <c r="AT37" s="38"/>
      <c r="AU37" s="38"/>
      <c r="AV37" s="67"/>
      <c r="AW37" s="281"/>
      <c r="AX37" s="261"/>
      <c r="AY37" s="261"/>
      <c r="AZ37" s="282"/>
    </row>
    <row r="38" spans="2:52" ht="15" thickBot="1" x14ac:dyDescent="0.4">
      <c r="B38" s="19" t="s">
        <v>103</v>
      </c>
      <c r="C38" s="69"/>
      <c r="D38" s="19"/>
      <c r="E38" s="70"/>
      <c r="F38" s="71"/>
      <c r="G38" s="71"/>
      <c r="H38" s="72"/>
      <c r="I38" s="71"/>
      <c r="J38" s="71"/>
      <c r="K38" s="71"/>
      <c r="L38" s="72"/>
      <c r="M38" s="70"/>
      <c r="N38" s="71"/>
      <c r="O38" s="71"/>
      <c r="P38" s="72"/>
      <c r="Q38" s="70"/>
      <c r="R38" s="71"/>
      <c r="S38" s="71"/>
      <c r="T38" s="72"/>
      <c r="U38" s="70"/>
      <c r="V38" s="71"/>
      <c r="W38" s="71"/>
      <c r="X38" s="72"/>
      <c r="Y38" s="70"/>
      <c r="Z38" s="71"/>
      <c r="AA38" s="71"/>
      <c r="AB38" s="72"/>
      <c r="AC38" s="70"/>
      <c r="AD38" s="71"/>
      <c r="AE38" s="71"/>
      <c r="AF38" s="72"/>
      <c r="AG38" s="70"/>
      <c r="AH38" s="71"/>
      <c r="AI38" s="71"/>
      <c r="AJ38" s="72"/>
      <c r="AK38" s="70"/>
      <c r="AL38" s="71"/>
      <c r="AM38" s="71"/>
      <c r="AN38" s="72"/>
      <c r="AO38" s="70"/>
      <c r="AP38" s="71"/>
      <c r="AQ38" s="71"/>
      <c r="AR38" s="71"/>
      <c r="AS38" s="70"/>
      <c r="AT38" s="71"/>
      <c r="AU38" s="71"/>
      <c r="AV38" s="72"/>
      <c r="AW38" s="283"/>
      <c r="AX38" s="284"/>
      <c r="AY38" s="284"/>
      <c r="AZ38" s="285"/>
    </row>
    <row r="41" spans="2:52" x14ac:dyDescent="0.35">
      <c r="B41" s="297" t="s">
        <v>117</v>
      </c>
      <c r="C41" s="297"/>
    </row>
    <row r="42" spans="2:52" x14ac:dyDescent="0.35">
      <c r="B42" s="297"/>
      <c r="C42" s="297"/>
    </row>
    <row r="43" spans="2:52" ht="15" thickBot="1" x14ac:dyDescent="0.4"/>
    <row r="44" spans="2:52" x14ac:dyDescent="0.35">
      <c r="B44" s="18"/>
      <c r="C44" s="18"/>
      <c r="D44" s="22" t="s">
        <v>86</v>
      </c>
      <c r="E44" s="286">
        <f>'BC Summary US$'!B17</f>
        <v>2022</v>
      </c>
      <c r="F44" s="287"/>
      <c r="G44" s="287"/>
      <c r="H44" s="288"/>
      <c r="I44" s="275">
        <f>E44+1</f>
        <v>2023</v>
      </c>
      <c r="J44" s="276"/>
      <c r="K44" s="276"/>
      <c r="L44" s="277"/>
      <c r="M44" s="275">
        <f t="shared" ref="M44" si="20">I44+1</f>
        <v>2024</v>
      </c>
      <c r="N44" s="276"/>
      <c r="O44" s="276"/>
      <c r="P44" s="277"/>
      <c r="Q44" s="275">
        <f t="shared" ref="Q44" si="21">M44+1</f>
        <v>2025</v>
      </c>
      <c r="R44" s="276"/>
      <c r="S44" s="276"/>
      <c r="T44" s="277"/>
      <c r="U44" s="275">
        <f t="shared" ref="U44" si="22">Q44+1</f>
        <v>2026</v>
      </c>
      <c r="V44" s="276"/>
      <c r="W44" s="276"/>
      <c r="X44" s="277"/>
      <c r="Y44" s="275">
        <f t="shared" ref="Y44" si="23">U44+1</f>
        <v>2027</v>
      </c>
      <c r="Z44" s="276"/>
      <c r="AA44" s="276"/>
      <c r="AB44" s="277"/>
      <c r="AC44" s="275">
        <f t="shared" ref="AC44" si="24">Y44+1</f>
        <v>2028</v>
      </c>
      <c r="AD44" s="276"/>
      <c r="AE44" s="276"/>
      <c r="AF44" s="277"/>
      <c r="AG44" s="275">
        <f t="shared" ref="AG44" si="25">AC44+1</f>
        <v>2029</v>
      </c>
      <c r="AH44" s="276"/>
      <c r="AI44" s="276"/>
      <c r="AJ44" s="277"/>
      <c r="AK44" s="275">
        <f t="shared" ref="AK44" si="26">AG44+1</f>
        <v>2030</v>
      </c>
      <c r="AL44" s="276"/>
      <c r="AM44" s="276"/>
      <c r="AN44" s="277"/>
      <c r="AO44" s="275">
        <f t="shared" ref="AO44" si="27">AK44+1</f>
        <v>2031</v>
      </c>
      <c r="AP44" s="276"/>
      <c r="AQ44" s="276"/>
      <c r="AR44" s="277"/>
      <c r="AS44" s="275">
        <f t="shared" ref="AS44" si="28">AO44+1</f>
        <v>2032</v>
      </c>
      <c r="AT44" s="276"/>
      <c r="AU44" s="276"/>
      <c r="AV44" s="277"/>
      <c r="AW44" s="286" t="s">
        <v>87</v>
      </c>
      <c r="AX44" s="287"/>
      <c r="AY44" s="287"/>
      <c r="AZ44" s="288"/>
    </row>
    <row r="45" spans="2:52" ht="15" thickBot="1" x14ac:dyDescent="0.4">
      <c r="B45" s="19"/>
      <c r="C45" s="19"/>
      <c r="D45" s="19"/>
      <c r="E45" s="24" t="s">
        <v>88</v>
      </c>
      <c r="F45" s="16" t="s">
        <v>89</v>
      </c>
      <c r="G45" s="16" t="s">
        <v>90</v>
      </c>
      <c r="H45" s="17" t="s">
        <v>91</v>
      </c>
      <c r="I45" s="24" t="s">
        <v>88</v>
      </c>
      <c r="J45" s="16" t="s">
        <v>89</v>
      </c>
      <c r="K45" s="16" t="s">
        <v>90</v>
      </c>
      <c r="L45" s="17" t="s">
        <v>91</v>
      </c>
      <c r="M45" s="24" t="s">
        <v>88</v>
      </c>
      <c r="N45" s="16" t="s">
        <v>89</v>
      </c>
      <c r="O45" s="16" t="s">
        <v>90</v>
      </c>
      <c r="P45" s="17" t="s">
        <v>91</v>
      </c>
      <c r="Q45" s="24" t="s">
        <v>88</v>
      </c>
      <c r="R45" s="16" t="s">
        <v>89</v>
      </c>
      <c r="S45" s="16" t="s">
        <v>90</v>
      </c>
      <c r="T45" s="17" t="s">
        <v>91</v>
      </c>
      <c r="U45" s="24" t="s">
        <v>88</v>
      </c>
      <c r="V45" s="16" t="s">
        <v>89</v>
      </c>
      <c r="W45" s="16" t="s">
        <v>90</v>
      </c>
      <c r="X45" s="17" t="s">
        <v>91</v>
      </c>
      <c r="Y45" s="24" t="s">
        <v>88</v>
      </c>
      <c r="Z45" s="16" t="s">
        <v>89</v>
      </c>
      <c r="AA45" s="16" t="s">
        <v>90</v>
      </c>
      <c r="AB45" s="17" t="s">
        <v>91</v>
      </c>
      <c r="AC45" s="24" t="s">
        <v>88</v>
      </c>
      <c r="AD45" s="16" t="s">
        <v>89</v>
      </c>
      <c r="AE45" s="16" t="s">
        <v>90</v>
      </c>
      <c r="AF45" s="17" t="s">
        <v>91</v>
      </c>
      <c r="AG45" s="24" t="s">
        <v>88</v>
      </c>
      <c r="AH45" s="16" t="s">
        <v>89</v>
      </c>
      <c r="AI45" s="16" t="s">
        <v>90</v>
      </c>
      <c r="AJ45" s="17" t="s">
        <v>91</v>
      </c>
      <c r="AK45" s="24" t="s">
        <v>88</v>
      </c>
      <c r="AL45" s="16" t="s">
        <v>89</v>
      </c>
      <c r="AM45" s="16" t="s">
        <v>90</v>
      </c>
      <c r="AN45" s="17" t="s">
        <v>91</v>
      </c>
      <c r="AO45" s="24" t="s">
        <v>88</v>
      </c>
      <c r="AP45" s="16" t="s">
        <v>89</v>
      </c>
      <c r="AQ45" s="16" t="s">
        <v>90</v>
      </c>
      <c r="AR45" s="17" t="s">
        <v>91</v>
      </c>
      <c r="AS45" s="24" t="s">
        <v>88</v>
      </c>
      <c r="AT45" s="16" t="s">
        <v>89</v>
      </c>
      <c r="AU45" s="16" t="s">
        <v>90</v>
      </c>
      <c r="AV45" s="17" t="s">
        <v>91</v>
      </c>
      <c r="AW45" s="289"/>
      <c r="AX45" s="290"/>
      <c r="AY45" s="290"/>
      <c r="AZ45" s="291"/>
    </row>
    <row r="46" spans="2:52" x14ac:dyDescent="0.35">
      <c r="B46" s="22" t="s">
        <v>92</v>
      </c>
      <c r="C46" s="68" t="s">
        <v>114</v>
      </c>
      <c r="D46" s="18"/>
      <c r="E46" s="27"/>
      <c r="F46" s="28"/>
      <c r="G46" s="28"/>
      <c r="H46" s="29"/>
      <c r="I46" s="28"/>
      <c r="J46" s="28"/>
      <c r="K46" s="28"/>
      <c r="L46" s="29"/>
      <c r="M46" s="27"/>
      <c r="N46" s="28"/>
      <c r="O46" s="28"/>
      <c r="P46" s="29"/>
      <c r="Q46" s="27"/>
      <c r="R46" s="28"/>
      <c r="S46" s="28"/>
      <c r="T46" s="29"/>
      <c r="U46" s="27"/>
      <c r="V46" s="28"/>
      <c r="W46" s="28"/>
      <c r="X46" s="29"/>
      <c r="Y46" s="27"/>
      <c r="Z46" s="28"/>
      <c r="AA46" s="28"/>
      <c r="AB46" s="29"/>
      <c r="AC46" s="27"/>
      <c r="AD46" s="28"/>
      <c r="AE46" s="28"/>
      <c r="AF46" s="29"/>
      <c r="AG46" s="27"/>
      <c r="AH46" s="28"/>
      <c r="AI46" s="28"/>
      <c r="AJ46" s="29"/>
      <c r="AK46" s="27"/>
      <c r="AL46" s="28"/>
      <c r="AM46" s="28"/>
      <c r="AN46" s="29"/>
      <c r="AO46" s="27"/>
      <c r="AP46" s="28"/>
      <c r="AQ46" s="28"/>
      <c r="AR46" s="28"/>
      <c r="AS46" s="27"/>
      <c r="AT46" s="28"/>
      <c r="AU46" s="28"/>
      <c r="AV46" s="29"/>
      <c r="AW46" s="278"/>
      <c r="AX46" s="279"/>
      <c r="AY46" s="279"/>
      <c r="AZ46" s="280"/>
    </row>
    <row r="47" spans="2:52" x14ac:dyDescent="0.35">
      <c r="B47" s="21" t="s">
        <v>93</v>
      </c>
      <c r="C47" s="96"/>
      <c r="D47" s="21" t="s">
        <v>94</v>
      </c>
      <c r="E47" s="90">
        <f>E17-E32</f>
        <v>0</v>
      </c>
      <c r="F47" s="91">
        <f>F17-F32</f>
        <v>0</v>
      </c>
      <c r="G47" s="91">
        <f t="shared" ref="G47:AV47" si="29">G17-G32</f>
        <v>0</v>
      </c>
      <c r="H47" s="91">
        <f t="shared" si="29"/>
        <v>0</v>
      </c>
      <c r="I47" s="90">
        <f t="shared" si="29"/>
        <v>0</v>
      </c>
      <c r="J47" s="91">
        <f t="shared" si="29"/>
        <v>0</v>
      </c>
      <c r="K47" s="91">
        <f t="shared" si="29"/>
        <v>0</v>
      </c>
      <c r="L47" s="91">
        <f t="shared" si="29"/>
        <v>0</v>
      </c>
      <c r="M47" s="90">
        <f t="shared" si="29"/>
        <v>0</v>
      </c>
      <c r="N47" s="91">
        <f t="shared" si="29"/>
        <v>0</v>
      </c>
      <c r="O47" s="91">
        <f t="shared" si="29"/>
        <v>0</v>
      </c>
      <c r="P47" s="91">
        <f t="shared" si="29"/>
        <v>0</v>
      </c>
      <c r="Q47" s="90">
        <f t="shared" si="29"/>
        <v>0</v>
      </c>
      <c r="R47" s="91">
        <f t="shared" si="29"/>
        <v>0</v>
      </c>
      <c r="S47" s="91">
        <f t="shared" si="29"/>
        <v>0</v>
      </c>
      <c r="T47" s="91">
        <f t="shared" si="29"/>
        <v>0</v>
      </c>
      <c r="U47" s="90">
        <f t="shared" si="29"/>
        <v>0</v>
      </c>
      <c r="V47" s="91">
        <f t="shared" si="29"/>
        <v>0</v>
      </c>
      <c r="W47" s="91">
        <f t="shared" si="29"/>
        <v>0</v>
      </c>
      <c r="X47" s="91">
        <f t="shared" si="29"/>
        <v>0</v>
      </c>
      <c r="Y47" s="90">
        <f t="shared" si="29"/>
        <v>0</v>
      </c>
      <c r="Z47" s="91">
        <f t="shared" si="29"/>
        <v>0</v>
      </c>
      <c r="AA47" s="91">
        <f t="shared" si="29"/>
        <v>0</v>
      </c>
      <c r="AB47" s="91">
        <f t="shared" si="29"/>
        <v>0</v>
      </c>
      <c r="AC47" s="90">
        <f t="shared" si="29"/>
        <v>0</v>
      </c>
      <c r="AD47" s="91">
        <f t="shared" si="29"/>
        <v>0</v>
      </c>
      <c r="AE47" s="91">
        <f t="shared" si="29"/>
        <v>0</v>
      </c>
      <c r="AF47" s="91">
        <f t="shared" si="29"/>
        <v>0</v>
      </c>
      <c r="AG47" s="90">
        <f t="shared" si="29"/>
        <v>0</v>
      </c>
      <c r="AH47" s="91">
        <f t="shared" si="29"/>
        <v>0</v>
      </c>
      <c r="AI47" s="91">
        <f t="shared" si="29"/>
        <v>0</v>
      </c>
      <c r="AJ47" s="91">
        <f t="shared" si="29"/>
        <v>0</v>
      </c>
      <c r="AK47" s="90">
        <f t="shared" si="29"/>
        <v>0</v>
      </c>
      <c r="AL47" s="91">
        <f t="shared" si="29"/>
        <v>0</v>
      </c>
      <c r="AM47" s="91">
        <f t="shared" si="29"/>
        <v>0</v>
      </c>
      <c r="AN47" s="91">
        <f t="shared" si="29"/>
        <v>0</v>
      </c>
      <c r="AO47" s="90">
        <f t="shared" si="29"/>
        <v>0</v>
      </c>
      <c r="AP47" s="91">
        <f t="shared" si="29"/>
        <v>0</v>
      </c>
      <c r="AQ47" s="91">
        <f t="shared" si="29"/>
        <v>0</v>
      </c>
      <c r="AR47" s="91">
        <f t="shared" si="29"/>
        <v>0</v>
      </c>
      <c r="AS47" s="90">
        <f t="shared" si="29"/>
        <v>0</v>
      </c>
      <c r="AT47" s="91">
        <f t="shared" si="29"/>
        <v>0</v>
      </c>
      <c r="AU47" s="91">
        <f t="shared" si="29"/>
        <v>0</v>
      </c>
      <c r="AV47" s="91">
        <f t="shared" si="29"/>
        <v>0</v>
      </c>
      <c r="AW47" s="281"/>
      <c r="AX47" s="261"/>
      <c r="AY47" s="261"/>
      <c r="AZ47" s="282"/>
    </row>
    <row r="48" spans="2:52" x14ac:dyDescent="0.35">
      <c r="B48" s="21" t="s">
        <v>95</v>
      </c>
      <c r="C48" s="96"/>
      <c r="D48" s="21" t="s">
        <v>96</v>
      </c>
      <c r="E48" s="90">
        <f>IF(E47=0,0,$C48*POWER(POWER(1-$C$10,0.25),MAX(0,COUNTIF($E47:E47,"&gt;0")-4)))</f>
        <v>0</v>
      </c>
      <c r="F48" s="91">
        <f>IF(F47=0,0,$C48*POWER(POWER(1-$C$10,0.25),MAX(0,COUNTIF($E47:F47,"&gt;0")-4)))</f>
        <v>0</v>
      </c>
      <c r="G48" s="91">
        <f>IF(G47=0,0,$C48*POWER(POWER(1-$C$10,0.25),MAX(0,COUNTIF($E47:G47,"&gt;0")-4)))</f>
        <v>0</v>
      </c>
      <c r="H48" s="91">
        <f>IF(H47=0,0,$C48*POWER(POWER(1-$C$10,0.25),MAX(0,COUNTIF($E47:H47,"&gt;0")-4)))</f>
        <v>0</v>
      </c>
      <c r="I48" s="90">
        <f>IF(I47=0,0,$C48*POWER(POWER(1-$C$10,0.25),MAX(0,COUNTIF($E47:I47,"&gt;0")-4)))</f>
        <v>0</v>
      </c>
      <c r="J48" s="91">
        <f>IF(J47=0,0,$C48*POWER(POWER(1-$C$10,0.25),MAX(0,COUNTIF($E47:J47,"&gt;0")-4)))</f>
        <v>0</v>
      </c>
      <c r="K48" s="91">
        <f>IF(K47=0,0,$C48*POWER(POWER(1-$C$10,0.25),MAX(0,COUNTIF($E47:K47,"&gt;0")-4)))</f>
        <v>0</v>
      </c>
      <c r="L48" s="91">
        <f>IF(L47=0,0,$C48*POWER(POWER(1-$C$10,0.25),MAX(0,COUNTIF($E47:L47,"&gt;0")-4)))</f>
        <v>0</v>
      </c>
      <c r="M48" s="90">
        <f>IF(M47=0,0,$C48*POWER(POWER(1-$C$10,0.25),MAX(0,COUNTIF($E47:M47,"&gt;0")-4)))</f>
        <v>0</v>
      </c>
      <c r="N48" s="91">
        <f>IF(N47=0,0,$C48*POWER(POWER(1-$C$10,0.25),MAX(0,COUNTIF($E47:N47,"&gt;0")-4)))</f>
        <v>0</v>
      </c>
      <c r="O48" s="91">
        <f>IF(O47=0,0,$C48*POWER(POWER(1-$C$10,0.25),MAX(0,COUNTIF($E47:O47,"&gt;0")-4)))</f>
        <v>0</v>
      </c>
      <c r="P48" s="91">
        <f>IF(P47=0,0,$C48*POWER(POWER(1-$C$10,0.25),MAX(0,COUNTIF($E47:P47,"&gt;0")-4)))</f>
        <v>0</v>
      </c>
      <c r="Q48" s="90">
        <f>IF(Q47=0,0,$C48*POWER(POWER(1-$C$10,0.25),MAX(0,COUNTIF($E47:Q47,"&gt;0")-4)))</f>
        <v>0</v>
      </c>
      <c r="R48" s="91">
        <f>IF(R47=0,0,$C48*POWER(POWER(1-$C$10,0.25),MAX(0,COUNTIF($E47:R47,"&gt;0")-4)))</f>
        <v>0</v>
      </c>
      <c r="S48" s="91">
        <f>IF(S47=0,0,$C48*POWER(POWER(1-$C$10,0.25),MAX(0,COUNTIF($E47:S47,"&gt;0")-4)))</f>
        <v>0</v>
      </c>
      <c r="T48" s="91">
        <f>IF(T47=0,0,$C48*POWER(POWER(1-$C$10,0.25),MAX(0,COUNTIF($E47:T47,"&gt;0")-4)))</f>
        <v>0</v>
      </c>
      <c r="U48" s="90">
        <f>IF(U47=0,0,$C48*POWER(POWER(1-$C$10,0.25),MAX(0,COUNTIF($E47:U47,"&gt;0")-4)))</f>
        <v>0</v>
      </c>
      <c r="V48" s="91">
        <f>IF(V47=0,0,$C48*POWER(POWER(1-$C$10,0.25),MAX(0,COUNTIF($E47:V47,"&gt;0")-4)))</f>
        <v>0</v>
      </c>
      <c r="W48" s="91">
        <f>IF(W47=0,0,$C48*POWER(POWER(1-$C$10,0.25),MAX(0,COUNTIF($E47:W47,"&gt;0")-4)))</f>
        <v>0</v>
      </c>
      <c r="X48" s="91">
        <f>IF(X47=0,0,$C48*POWER(POWER(1-$C$10,0.25),MAX(0,COUNTIF($E47:X47,"&gt;0")-4)))</f>
        <v>0</v>
      </c>
      <c r="Y48" s="90">
        <f>IF(Y47=0,0,$C48*POWER(POWER(1-$C$10,0.25),MAX(0,COUNTIF($E47:Y47,"&gt;0")-4)))</f>
        <v>0</v>
      </c>
      <c r="Z48" s="91">
        <f>IF(Z47=0,0,$C48*POWER(POWER(1-$C$10,0.25),MAX(0,COUNTIF($E47:Z47,"&gt;0")-4)))</f>
        <v>0</v>
      </c>
      <c r="AA48" s="91">
        <f>IF(AA47=0,0,$C48*POWER(POWER(1-$C$10,0.25),MAX(0,COUNTIF($E47:AA47,"&gt;0")-4)))</f>
        <v>0</v>
      </c>
      <c r="AB48" s="91">
        <f>IF(AB47=0,0,$C48*POWER(POWER(1-$C$10,0.25),MAX(0,COUNTIF($E47:AB47,"&gt;0")-4)))</f>
        <v>0</v>
      </c>
      <c r="AC48" s="90">
        <f>IF(AC47=0,0,$C48*POWER(POWER(1-$C$10,0.25),MAX(0,COUNTIF($E47:AC47,"&gt;0")-4)))</f>
        <v>0</v>
      </c>
      <c r="AD48" s="91">
        <f>IF(AD47=0,0,$C48*POWER(POWER(1-$C$10,0.25),MAX(0,COUNTIF($E47:AD47,"&gt;0")-4)))</f>
        <v>0</v>
      </c>
      <c r="AE48" s="91">
        <f>IF(AE47=0,0,$C48*POWER(POWER(1-$C$10,0.25),MAX(0,COUNTIF($E47:AE47,"&gt;0")-4)))</f>
        <v>0</v>
      </c>
      <c r="AF48" s="91">
        <f>IF(AF47=0,0,$C48*POWER(POWER(1-$C$10,0.25),MAX(0,COUNTIF($E47:AF47,"&gt;0")-4)))</f>
        <v>0</v>
      </c>
      <c r="AG48" s="90">
        <f>IF(AG47=0,0,$C48*POWER(POWER(1-$C$10,0.25),MAX(0,COUNTIF($E47:AG47,"&gt;0")-4)))</f>
        <v>0</v>
      </c>
      <c r="AH48" s="91">
        <f>IF(AH47=0,0,$C48*POWER(POWER(1-$C$10,0.25),MAX(0,COUNTIF($E47:AH47,"&gt;0")-4)))</f>
        <v>0</v>
      </c>
      <c r="AI48" s="91">
        <f>IF(AI47=0,0,$C48*POWER(POWER(1-$C$10,0.25),MAX(0,COUNTIF($E47:AI47,"&gt;0")-4)))</f>
        <v>0</v>
      </c>
      <c r="AJ48" s="91">
        <f>IF(AJ47=0,0,$C48*POWER(POWER(1-$C$10,0.25),MAX(0,COUNTIF($E47:AJ47,"&gt;0")-4)))</f>
        <v>0</v>
      </c>
      <c r="AK48" s="90">
        <f>IF(AK47=0,0,$C48*POWER(POWER(1-$C$10,0.25),MAX(0,COUNTIF($E47:AK47,"&gt;0")-4)))</f>
        <v>0</v>
      </c>
      <c r="AL48" s="91">
        <f>IF(AL47=0,0,$C48*POWER(POWER(1-$C$10,0.25),MAX(0,COUNTIF($E47:AL47,"&gt;0")-4)))</f>
        <v>0</v>
      </c>
      <c r="AM48" s="91">
        <f>IF(AM47=0,0,$C48*POWER(POWER(1-$C$10,0.25),MAX(0,COUNTIF($E47:AM47,"&gt;0")-4)))</f>
        <v>0</v>
      </c>
      <c r="AN48" s="91">
        <f>IF(AN47=0,0,$C48*POWER(POWER(1-$C$10,0.25),MAX(0,COUNTIF($E47:AN47,"&gt;0")-4)))</f>
        <v>0</v>
      </c>
      <c r="AO48" s="90">
        <f>IF(AO47=0,0,$C48*POWER(POWER(1-$C$10,0.25),MAX(0,COUNTIF($E47:AO47,"&gt;0")-4)))</f>
        <v>0</v>
      </c>
      <c r="AP48" s="91">
        <f>IF(AP47=0,0,$C48*POWER(POWER(1-$C$10,0.25),MAX(0,COUNTIF($E47:AP47,"&gt;0")-4)))</f>
        <v>0</v>
      </c>
      <c r="AQ48" s="91">
        <f>IF(AQ47=0,0,$C48*POWER(POWER(1-$C$10,0.25),MAX(0,COUNTIF($E47:AQ47,"&gt;0")-4)))</f>
        <v>0</v>
      </c>
      <c r="AR48" s="91">
        <f>IF(AR47=0,0,$C48*POWER(POWER(1-$C$10,0.25),MAX(0,COUNTIF($E47:AR47,"&gt;0")-4)))</f>
        <v>0</v>
      </c>
      <c r="AS48" s="90">
        <f>IF(AS47=0,0,$C48*POWER(POWER(1-$C$10,0.25),MAX(0,COUNTIF($E47:AS47,"&gt;0")-4)))</f>
        <v>0</v>
      </c>
      <c r="AT48" s="91">
        <f>IF(AT47=0,0,$C48*POWER(POWER(1-$C$10,0.25),MAX(0,COUNTIF($E47:AT47,"&gt;0")-4)))</f>
        <v>0</v>
      </c>
      <c r="AU48" s="91">
        <f>IF(AU47=0,0,$C48*POWER(POWER(1-$C$10,0.25),MAX(0,COUNTIF($E47:AU47,"&gt;0")-4)))</f>
        <v>0</v>
      </c>
      <c r="AV48" s="91">
        <f>IF(AV47=0,0,$C48*POWER(POWER(1-$C$10,0.25),MAX(0,COUNTIF($E47:AV47,"&gt;0")-4)))</f>
        <v>0</v>
      </c>
      <c r="AW48" s="281"/>
      <c r="AX48" s="261"/>
      <c r="AY48" s="261"/>
      <c r="AZ48" s="282"/>
    </row>
    <row r="49" spans="2:52" x14ac:dyDescent="0.35">
      <c r="B49" s="21" t="s">
        <v>97</v>
      </c>
      <c r="C49" s="96"/>
      <c r="D49" s="21"/>
      <c r="E49" s="90"/>
      <c r="F49" s="91"/>
      <c r="G49" s="91"/>
      <c r="H49" s="92"/>
      <c r="I49" s="91"/>
      <c r="J49" s="91"/>
      <c r="K49" s="91"/>
      <c r="L49" s="92"/>
      <c r="M49" s="90"/>
      <c r="N49" s="91"/>
      <c r="O49" s="91"/>
      <c r="P49" s="92"/>
      <c r="Q49" s="90"/>
      <c r="R49" s="91"/>
      <c r="S49" s="91"/>
      <c r="T49" s="92"/>
      <c r="U49" s="90"/>
      <c r="V49" s="91"/>
      <c r="W49" s="91"/>
      <c r="X49" s="92"/>
      <c r="Y49" s="90"/>
      <c r="Z49" s="91"/>
      <c r="AA49" s="91"/>
      <c r="AB49" s="92"/>
      <c r="AC49" s="90"/>
      <c r="AD49" s="91"/>
      <c r="AE49" s="91"/>
      <c r="AF49" s="92"/>
      <c r="AG49" s="90"/>
      <c r="AH49" s="91"/>
      <c r="AI49" s="91"/>
      <c r="AJ49" s="92"/>
      <c r="AK49" s="90"/>
      <c r="AL49" s="91"/>
      <c r="AM49" s="91"/>
      <c r="AN49" s="92"/>
      <c r="AO49" s="90"/>
      <c r="AP49" s="91"/>
      <c r="AQ49" s="91"/>
      <c r="AR49" s="91"/>
      <c r="AS49" s="90"/>
      <c r="AT49" s="91"/>
      <c r="AU49" s="91"/>
      <c r="AV49" s="92"/>
      <c r="AW49" s="281"/>
      <c r="AX49" s="261"/>
      <c r="AY49" s="261"/>
      <c r="AZ49" s="282"/>
    </row>
    <row r="50" spans="2:52" x14ac:dyDescent="0.35">
      <c r="B50" s="21" t="s">
        <v>115</v>
      </c>
      <c r="C50" s="96"/>
      <c r="D50" s="21" t="s">
        <v>99</v>
      </c>
      <c r="E50" s="90">
        <f>IFERROR(E47*E48,"")</f>
        <v>0</v>
      </c>
      <c r="F50" s="91">
        <f t="shared" ref="F50:AV50" si="30">IFERROR(F47*F48,"")</f>
        <v>0</v>
      </c>
      <c r="G50" s="91">
        <f t="shared" si="30"/>
        <v>0</v>
      </c>
      <c r="H50" s="92">
        <f t="shared" si="30"/>
        <v>0</v>
      </c>
      <c r="I50" s="91">
        <f t="shared" si="30"/>
        <v>0</v>
      </c>
      <c r="J50" s="91">
        <f t="shared" si="30"/>
        <v>0</v>
      </c>
      <c r="K50" s="91">
        <f t="shared" si="30"/>
        <v>0</v>
      </c>
      <c r="L50" s="91">
        <f t="shared" si="30"/>
        <v>0</v>
      </c>
      <c r="M50" s="90">
        <f t="shared" si="30"/>
        <v>0</v>
      </c>
      <c r="N50" s="91">
        <f t="shared" si="30"/>
        <v>0</v>
      </c>
      <c r="O50" s="91">
        <f t="shared" si="30"/>
        <v>0</v>
      </c>
      <c r="P50" s="91">
        <f t="shared" si="30"/>
        <v>0</v>
      </c>
      <c r="Q50" s="90">
        <f t="shared" si="30"/>
        <v>0</v>
      </c>
      <c r="R50" s="91">
        <f t="shared" si="30"/>
        <v>0</v>
      </c>
      <c r="S50" s="91">
        <f t="shared" si="30"/>
        <v>0</v>
      </c>
      <c r="T50" s="91">
        <f t="shared" si="30"/>
        <v>0</v>
      </c>
      <c r="U50" s="90">
        <f t="shared" si="30"/>
        <v>0</v>
      </c>
      <c r="V50" s="91">
        <f t="shared" si="30"/>
        <v>0</v>
      </c>
      <c r="W50" s="91">
        <f t="shared" si="30"/>
        <v>0</v>
      </c>
      <c r="X50" s="91">
        <f t="shared" si="30"/>
        <v>0</v>
      </c>
      <c r="Y50" s="90">
        <f t="shared" si="30"/>
        <v>0</v>
      </c>
      <c r="Z50" s="91">
        <f t="shared" si="30"/>
        <v>0</v>
      </c>
      <c r="AA50" s="91">
        <f t="shared" si="30"/>
        <v>0</v>
      </c>
      <c r="AB50" s="91">
        <f t="shared" si="30"/>
        <v>0</v>
      </c>
      <c r="AC50" s="90">
        <f t="shared" si="30"/>
        <v>0</v>
      </c>
      <c r="AD50" s="91">
        <f t="shared" si="30"/>
        <v>0</v>
      </c>
      <c r="AE50" s="91">
        <f t="shared" si="30"/>
        <v>0</v>
      </c>
      <c r="AF50" s="91">
        <f t="shared" si="30"/>
        <v>0</v>
      </c>
      <c r="AG50" s="90">
        <f t="shared" si="30"/>
        <v>0</v>
      </c>
      <c r="AH50" s="91">
        <f t="shared" si="30"/>
        <v>0</v>
      </c>
      <c r="AI50" s="91">
        <f t="shared" si="30"/>
        <v>0</v>
      </c>
      <c r="AJ50" s="91">
        <f t="shared" si="30"/>
        <v>0</v>
      </c>
      <c r="AK50" s="90">
        <f t="shared" si="30"/>
        <v>0</v>
      </c>
      <c r="AL50" s="91">
        <f t="shared" si="30"/>
        <v>0</v>
      </c>
      <c r="AM50" s="91">
        <f t="shared" si="30"/>
        <v>0</v>
      </c>
      <c r="AN50" s="91">
        <f t="shared" si="30"/>
        <v>0</v>
      </c>
      <c r="AO50" s="90">
        <f t="shared" si="30"/>
        <v>0</v>
      </c>
      <c r="AP50" s="91">
        <f t="shared" si="30"/>
        <v>0</v>
      </c>
      <c r="AQ50" s="91">
        <f t="shared" si="30"/>
        <v>0</v>
      </c>
      <c r="AR50" s="91">
        <f t="shared" si="30"/>
        <v>0</v>
      </c>
      <c r="AS50" s="90">
        <f t="shared" si="30"/>
        <v>0</v>
      </c>
      <c r="AT50" s="91">
        <f t="shared" si="30"/>
        <v>0</v>
      </c>
      <c r="AU50" s="91">
        <f t="shared" si="30"/>
        <v>0</v>
      </c>
      <c r="AV50" s="92">
        <f t="shared" si="30"/>
        <v>0</v>
      </c>
      <c r="AW50" s="281"/>
      <c r="AX50" s="261"/>
      <c r="AY50" s="261"/>
      <c r="AZ50" s="282"/>
    </row>
    <row r="51" spans="2:52" x14ac:dyDescent="0.35">
      <c r="B51" s="21" t="s">
        <v>100</v>
      </c>
      <c r="C51" s="96"/>
      <c r="D51" s="21" t="s">
        <v>101</v>
      </c>
      <c r="E51" s="90">
        <f>IF(E47=0,0,$C49*POWER(POWER(1-$C$11,0.25),MAX(0,COUNTIF($E47:E47,"&gt;0")-4))*E47)</f>
        <v>0</v>
      </c>
      <c r="F51" s="91">
        <f>IF(F47=0,0,$C49*POWER(POWER(1-$C$11,0.25),MAX(0,COUNTIF($E47:F47,"&gt;0")-4))*F47)</f>
        <v>0</v>
      </c>
      <c r="G51" s="91">
        <f>IF(G47=0,0,$C49*POWER(POWER(1-$C$11,0.25),MAX(0,COUNTIF($E47:G47,"&gt;0")-4))*G47)</f>
        <v>0</v>
      </c>
      <c r="H51" s="91">
        <f>IF(H47=0,0,$C49*POWER(POWER(1-$C$11,0.25),MAX(0,COUNTIF($E47:H47,"&gt;0")-4))*H47)</f>
        <v>0</v>
      </c>
      <c r="I51" s="90">
        <f>IF(I47=0,0,$C49*POWER(POWER(1-$C$11,0.25),MAX(0,COUNTIF($E47:I47,"&gt;0")-4))*I47)</f>
        <v>0</v>
      </c>
      <c r="J51" s="91">
        <f>IF(J47=0,0,$C49*POWER(POWER(1-$C$11,0.25),MAX(0,COUNTIF($E47:J47,"&gt;0")-4))*J47)</f>
        <v>0</v>
      </c>
      <c r="K51" s="91">
        <f>IF(K47=0,0,$C49*POWER(POWER(1-$C$11,0.25),MAX(0,COUNTIF($E47:K47,"&gt;0")-4))*K47)</f>
        <v>0</v>
      </c>
      <c r="L51" s="91">
        <f>IF(L47=0,0,$C49*POWER(POWER(1-$C$11,0.25),MAX(0,COUNTIF($E47:L47,"&gt;0")-4))*L47)</f>
        <v>0</v>
      </c>
      <c r="M51" s="90">
        <f>IF(M47=0,0,$C49*POWER(POWER(1-$C$11,0.25),MAX(0,COUNTIF($E47:M47,"&gt;0")-4))*M47)</f>
        <v>0</v>
      </c>
      <c r="N51" s="91">
        <f>IF(N47=0,0,$C49*POWER(POWER(1-$C$11,0.25),MAX(0,COUNTIF($E47:N47,"&gt;0")-4))*N47)</f>
        <v>0</v>
      </c>
      <c r="O51" s="91">
        <f>IF(O47=0,0,$C49*POWER(POWER(1-$C$11,0.25),MAX(0,COUNTIF($E47:O47,"&gt;0")-4))*O47)</f>
        <v>0</v>
      </c>
      <c r="P51" s="91">
        <f>IF(P47=0,0,$C49*POWER(POWER(1-$C$11,0.25),MAX(0,COUNTIF($E47:P47,"&gt;0")-4))*P47)</f>
        <v>0</v>
      </c>
      <c r="Q51" s="90">
        <f>IF(Q47=0,0,$C49*POWER(POWER(1-$C$11,0.25),MAX(0,COUNTIF($E47:Q47,"&gt;0")-4))*Q47)</f>
        <v>0</v>
      </c>
      <c r="R51" s="91">
        <f>IF(R47=0,0,$C49*POWER(POWER(1-$C$11,0.25),MAX(0,COUNTIF($E47:R47,"&gt;0")-4))*R47)</f>
        <v>0</v>
      </c>
      <c r="S51" s="91">
        <f>IF(S47=0,0,$C49*POWER(POWER(1-$C$11,0.25),MAX(0,COUNTIF($E47:S47,"&gt;0")-4))*S47)</f>
        <v>0</v>
      </c>
      <c r="T51" s="91">
        <f>IF(T47=0,0,$C49*POWER(POWER(1-$C$11,0.25),MAX(0,COUNTIF($E47:T47,"&gt;0")-4))*T47)</f>
        <v>0</v>
      </c>
      <c r="U51" s="90">
        <f>IF(U47=0,0,$C49*POWER(POWER(1-$C$11,0.25),MAX(0,COUNTIF($E47:U47,"&gt;0")-4))*U47)</f>
        <v>0</v>
      </c>
      <c r="V51" s="91">
        <f>IF(V47=0,0,$C49*POWER(POWER(1-$C$11,0.25),MAX(0,COUNTIF($E47:V47,"&gt;0")-4))*V47)</f>
        <v>0</v>
      </c>
      <c r="W51" s="91">
        <f>IF(W47=0,0,$C49*POWER(POWER(1-$C$11,0.25),MAX(0,COUNTIF($E47:W47,"&gt;0")-4))*W47)</f>
        <v>0</v>
      </c>
      <c r="X51" s="91">
        <f>IF(X47=0,0,$C49*POWER(POWER(1-$C$11,0.25),MAX(0,COUNTIF($E47:X47,"&gt;0")-4))*X47)</f>
        <v>0</v>
      </c>
      <c r="Y51" s="90">
        <f>IF(Y47=0,0,$C49*POWER(POWER(1-$C$11,0.25),MAX(0,COUNTIF($E47:Y47,"&gt;0")-4))*Y47)</f>
        <v>0</v>
      </c>
      <c r="Z51" s="91">
        <f>IF(Z47=0,0,$C49*POWER(POWER(1-$C$11,0.25),MAX(0,COUNTIF($E47:Z47,"&gt;0")-4))*Z47)</f>
        <v>0</v>
      </c>
      <c r="AA51" s="91">
        <f>IF(AA47=0,0,$C49*POWER(POWER(1-$C$11,0.25),MAX(0,COUNTIF($E47:AA47,"&gt;0")-4))*AA47)</f>
        <v>0</v>
      </c>
      <c r="AB51" s="91">
        <f>IF(AB47=0,0,$C49*POWER(POWER(1-$C$11,0.25),MAX(0,COUNTIF($E47:AB47,"&gt;0")-4))*AB47)</f>
        <v>0</v>
      </c>
      <c r="AC51" s="90">
        <f>IF(AC47=0,0,$C49*POWER(POWER(1-$C$11,0.25),MAX(0,COUNTIF($E47:AC47,"&gt;0")-4))*AC47)</f>
        <v>0</v>
      </c>
      <c r="AD51" s="91">
        <f>IF(AD47=0,0,$C49*POWER(POWER(1-$C$11,0.25),MAX(0,COUNTIF($E47:AD47,"&gt;0")-4))*AD47)</f>
        <v>0</v>
      </c>
      <c r="AE51" s="91">
        <f>IF(AE47=0,0,$C49*POWER(POWER(1-$C$11,0.25),MAX(0,COUNTIF($E47:AE47,"&gt;0")-4))*AE47)</f>
        <v>0</v>
      </c>
      <c r="AF51" s="91">
        <f>IF(AF47=0,0,$C49*POWER(POWER(1-$C$11,0.25),MAX(0,COUNTIF($E47:AF47,"&gt;0")-4))*AF47)</f>
        <v>0</v>
      </c>
      <c r="AG51" s="90">
        <f>IF(AG47=0,0,$C49*POWER(POWER(1-$C$11,0.25),MAX(0,COUNTIF($E47:AG47,"&gt;0")-4))*AG47)</f>
        <v>0</v>
      </c>
      <c r="AH51" s="91">
        <f>IF(AH47=0,0,$C49*POWER(POWER(1-$C$11,0.25),MAX(0,COUNTIF($E47:AH47,"&gt;0")-4))*AH47)</f>
        <v>0</v>
      </c>
      <c r="AI51" s="91">
        <f>IF(AI47=0,0,$C49*POWER(POWER(1-$C$11,0.25),MAX(0,COUNTIF($E47:AI47,"&gt;0")-4))*AI47)</f>
        <v>0</v>
      </c>
      <c r="AJ51" s="91">
        <f>IF(AJ47=0,0,$C49*POWER(POWER(1-$C$11,0.25),MAX(0,COUNTIF($E47:AJ47,"&gt;0")-4))*AJ47)</f>
        <v>0</v>
      </c>
      <c r="AK51" s="90">
        <f>IF(AK47=0,0,$C49*POWER(POWER(1-$C$11,0.25),MAX(0,COUNTIF($E47:AK47,"&gt;0")-4))*AK47)</f>
        <v>0</v>
      </c>
      <c r="AL51" s="91">
        <f>IF(AL47=0,0,$C49*POWER(POWER(1-$C$11,0.25),MAX(0,COUNTIF($E47:AL47,"&gt;0")-4))*AL47)</f>
        <v>0</v>
      </c>
      <c r="AM51" s="91">
        <f>IF(AM47=0,0,$C49*POWER(POWER(1-$C$11,0.25),MAX(0,COUNTIF($E47:AM47,"&gt;0")-4))*AM47)</f>
        <v>0</v>
      </c>
      <c r="AN51" s="91">
        <f>IF(AN47=0,0,$C49*POWER(POWER(1-$C$11,0.25),MAX(0,COUNTIF($E47:AN47,"&gt;0")-4))*AN47)</f>
        <v>0</v>
      </c>
      <c r="AO51" s="90">
        <f>IF(AO47=0,0,$C49*POWER(POWER(1-$C$11,0.25),MAX(0,COUNTIF($E47:AO47,"&gt;0")-4))*AO47)</f>
        <v>0</v>
      </c>
      <c r="AP51" s="91">
        <f>IF(AP47=0,0,$C49*POWER(POWER(1-$C$11,0.25),MAX(0,COUNTIF($E47:AP47,"&gt;0")-4))*AP47)</f>
        <v>0</v>
      </c>
      <c r="AQ51" s="91">
        <f>IF(AQ47=0,0,$C49*POWER(POWER(1-$C$11,0.25),MAX(0,COUNTIF($E47:AQ47,"&gt;0")-4))*AQ47)</f>
        <v>0</v>
      </c>
      <c r="AR51" s="91">
        <f>IF(AR47=0,0,$C49*POWER(POWER(1-$C$11,0.25),MAX(0,COUNTIF($E47:AR47,"&gt;0")-4))*AR47)</f>
        <v>0</v>
      </c>
      <c r="AS51" s="90">
        <f>IF(AS47=0,0,$C49*POWER(POWER(1-$C$11,0.25),MAX(0,COUNTIF($E47:AS47,"&gt;0")-4))*AS47)</f>
        <v>0</v>
      </c>
      <c r="AT51" s="91">
        <f>IF(AT47=0,0,$C49*POWER(POWER(1-$C$11,0.25),MAX(0,COUNTIF($E47:AT47,"&gt;0")-4))*AT47)</f>
        <v>0</v>
      </c>
      <c r="AU51" s="91">
        <f>IF(AU47=0,0,$C49*POWER(POWER(1-$C$11,0.25),MAX(0,COUNTIF($E47:AU47,"&gt;0")-4))*AU47)</f>
        <v>0</v>
      </c>
      <c r="AV51" s="91">
        <f>IF(AV47=0,0,$C49*POWER(POWER(1-$C$11,0.25),MAX(0,COUNTIF($E47:AV47,"&gt;0")-4))*AV47)</f>
        <v>0</v>
      </c>
      <c r="AW51" s="281"/>
      <c r="AX51" s="261"/>
      <c r="AY51" s="261"/>
      <c r="AZ51" s="282"/>
    </row>
    <row r="52" spans="2:52" x14ac:dyDescent="0.35">
      <c r="B52" s="21" t="s">
        <v>102</v>
      </c>
      <c r="C52" s="96"/>
      <c r="D52" s="21"/>
      <c r="E52" s="90"/>
      <c r="F52" s="91"/>
      <c r="G52" s="91"/>
      <c r="H52" s="92"/>
      <c r="I52" s="91"/>
      <c r="J52" s="91"/>
      <c r="K52" s="91"/>
      <c r="L52" s="92"/>
      <c r="M52" s="90"/>
      <c r="N52" s="91"/>
      <c r="O52" s="91"/>
      <c r="P52" s="92"/>
      <c r="Q52" s="90"/>
      <c r="R52" s="91"/>
      <c r="S52" s="91"/>
      <c r="T52" s="92"/>
      <c r="U52" s="90"/>
      <c r="V52" s="91"/>
      <c r="W52" s="91"/>
      <c r="X52" s="92"/>
      <c r="Y52" s="90"/>
      <c r="Z52" s="91"/>
      <c r="AA52" s="91"/>
      <c r="AB52" s="92"/>
      <c r="AC52" s="90"/>
      <c r="AD52" s="91"/>
      <c r="AE52" s="91"/>
      <c r="AF52" s="92"/>
      <c r="AG52" s="90"/>
      <c r="AH52" s="91"/>
      <c r="AI52" s="91"/>
      <c r="AJ52" s="92"/>
      <c r="AK52" s="90"/>
      <c r="AL52" s="91"/>
      <c r="AM52" s="91"/>
      <c r="AN52" s="92"/>
      <c r="AO52" s="90"/>
      <c r="AP52" s="91"/>
      <c r="AQ52" s="91"/>
      <c r="AR52" s="91"/>
      <c r="AS52" s="90"/>
      <c r="AT52" s="91"/>
      <c r="AU52" s="91"/>
      <c r="AV52" s="92"/>
      <c r="AW52" s="281"/>
      <c r="AX52" s="261"/>
      <c r="AY52" s="261"/>
      <c r="AZ52" s="282"/>
    </row>
    <row r="53" spans="2:52" ht="15" thickBot="1" x14ac:dyDescent="0.4">
      <c r="B53" s="19" t="s">
        <v>103</v>
      </c>
      <c r="C53" s="97"/>
      <c r="D53" s="19"/>
      <c r="E53" s="93"/>
      <c r="F53" s="94"/>
      <c r="G53" s="94"/>
      <c r="H53" s="95"/>
      <c r="I53" s="94"/>
      <c r="J53" s="94"/>
      <c r="K53" s="94"/>
      <c r="L53" s="95"/>
      <c r="M53" s="93"/>
      <c r="N53" s="94"/>
      <c r="O53" s="94"/>
      <c r="P53" s="95"/>
      <c r="Q53" s="93"/>
      <c r="R53" s="94"/>
      <c r="S53" s="94"/>
      <c r="T53" s="95"/>
      <c r="U53" s="93"/>
      <c r="V53" s="94"/>
      <c r="W53" s="94"/>
      <c r="X53" s="95"/>
      <c r="Y53" s="93"/>
      <c r="Z53" s="94"/>
      <c r="AA53" s="94"/>
      <c r="AB53" s="95"/>
      <c r="AC53" s="93"/>
      <c r="AD53" s="94"/>
      <c r="AE53" s="94"/>
      <c r="AF53" s="95"/>
      <c r="AG53" s="93"/>
      <c r="AH53" s="94"/>
      <c r="AI53" s="94"/>
      <c r="AJ53" s="95"/>
      <c r="AK53" s="93"/>
      <c r="AL53" s="94"/>
      <c r="AM53" s="94"/>
      <c r="AN53" s="95"/>
      <c r="AO53" s="93"/>
      <c r="AP53" s="94"/>
      <c r="AQ53" s="94"/>
      <c r="AR53" s="94"/>
      <c r="AS53" s="93"/>
      <c r="AT53" s="94"/>
      <c r="AU53" s="94"/>
      <c r="AV53" s="95"/>
      <c r="AW53" s="283"/>
      <c r="AX53" s="284"/>
      <c r="AY53" s="284"/>
      <c r="AZ53" s="285"/>
    </row>
  </sheetData>
  <mergeCells count="44">
    <mergeCell ref="AW46:AZ53"/>
    <mergeCell ref="AC44:AF44"/>
    <mergeCell ref="AG44:AJ44"/>
    <mergeCell ref="AK44:AN44"/>
    <mergeCell ref="AO44:AR44"/>
    <mergeCell ref="AS44:AV44"/>
    <mergeCell ref="AW44:AZ45"/>
    <mergeCell ref="E44:H44"/>
    <mergeCell ref="I44:L44"/>
    <mergeCell ref="M44:P44"/>
    <mergeCell ref="Q44:T44"/>
    <mergeCell ref="U44:X44"/>
    <mergeCell ref="Y44:AB44"/>
    <mergeCell ref="AW29:AZ30"/>
    <mergeCell ref="AW31:AZ38"/>
    <mergeCell ref="B5:C6"/>
    <mergeCell ref="B11:C12"/>
    <mergeCell ref="B26:C27"/>
    <mergeCell ref="B41:C42"/>
    <mergeCell ref="Y29:AB29"/>
    <mergeCell ref="AC29:AF29"/>
    <mergeCell ref="AG29:AJ29"/>
    <mergeCell ref="AK29:AN29"/>
    <mergeCell ref="AO29:AR29"/>
    <mergeCell ref="AS29:AV29"/>
    <mergeCell ref="E29:H29"/>
    <mergeCell ref="I29:L29"/>
    <mergeCell ref="M29:P29"/>
    <mergeCell ref="Q29:T29"/>
    <mergeCell ref="U29:X29"/>
    <mergeCell ref="AK14:AN14"/>
    <mergeCell ref="AO14:AR14"/>
    <mergeCell ref="AS14:AV14"/>
    <mergeCell ref="B1:C2"/>
    <mergeCell ref="AW14:AZ15"/>
    <mergeCell ref="AW16:AZ23"/>
    <mergeCell ref="E14:H14"/>
    <mergeCell ref="I14:L14"/>
    <mergeCell ref="M14:P14"/>
    <mergeCell ref="Q14:T14"/>
    <mergeCell ref="U14:X14"/>
    <mergeCell ref="Y14:AB14"/>
    <mergeCell ref="AC14:AF14"/>
    <mergeCell ref="AG14:AJ14"/>
  </mergeCells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99E31-8863-4F18-A4BE-3EC397794488}">
  <sheetPr codeName="Sheet1">
    <tabColor theme="9" tint="0.79998168889431442"/>
  </sheetPr>
  <dimension ref="B2:H54"/>
  <sheetViews>
    <sheetView topLeftCell="A13" zoomScale="90" zoomScaleNormal="90" workbookViewId="0">
      <selection activeCell="E38" sqref="E38"/>
    </sheetView>
  </sheetViews>
  <sheetFormatPr defaultColWidth="8.7265625" defaultRowHeight="14.5" x14ac:dyDescent="0.35"/>
  <cols>
    <col min="1" max="1" width="5.54296875" style="48" customWidth="1"/>
    <col min="2" max="2" width="3.7265625" style="48" bestFit="1" customWidth="1"/>
    <col min="3" max="3" width="35.54296875" style="49" bestFit="1" customWidth="1"/>
    <col min="4" max="4" width="86.453125" style="50" bestFit="1" customWidth="1"/>
    <col min="5" max="5" width="42.453125" style="49" customWidth="1"/>
    <col min="6" max="6" width="40.81640625" style="48" customWidth="1"/>
    <col min="7" max="7" width="8.7265625" style="48" customWidth="1"/>
    <col min="8" max="8" width="20.26953125" style="48" customWidth="1"/>
    <col min="9" max="9" width="8.7265625" style="48" customWidth="1"/>
    <col min="10" max="16384" width="8.7265625" style="48"/>
  </cols>
  <sheetData>
    <row r="2" spans="2:8" ht="53.5" customHeight="1" x14ac:dyDescent="0.35">
      <c r="B2" s="299" t="s">
        <v>118</v>
      </c>
      <c r="C2" s="299"/>
      <c r="D2" s="299"/>
      <c r="E2" s="299"/>
      <c r="F2" s="299"/>
      <c r="G2" s="62"/>
      <c r="H2" s="62"/>
    </row>
    <row r="3" spans="2:8" s="6" customFormat="1" ht="18.5" x14ac:dyDescent="0.35">
      <c r="B3" s="99" t="s">
        <v>119</v>
      </c>
      <c r="C3" s="100" t="s">
        <v>120</v>
      </c>
      <c r="D3" s="100" t="s">
        <v>64</v>
      </c>
      <c r="E3" s="100" t="s">
        <v>121</v>
      </c>
      <c r="F3" s="99" t="s">
        <v>122</v>
      </c>
    </row>
    <row r="4" spans="2:8" s="6" customFormat="1" x14ac:dyDescent="0.35">
      <c r="B4" s="52">
        <v>1</v>
      </c>
      <c r="C4" s="53" t="s">
        <v>123</v>
      </c>
      <c r="D4" s="54" t="s">
        <v>124</v>
      </c>
      <c r="E4" s="55"/>
      <c r="F4" s="56"/>
    </row>
    <row r="5" spans="2:8" s="6" customFormat="1" x14ac:dyDescent="0.35">
      <c r="B5" s="52">
        <v>2</v>
      </c>
      <c r="C5" s="53" t="s">
        <v>125</v>
      </c>
      <c r="D5" s="54" t="s">
        <v>126</v>
      </c>
      <c r="E5" s="55"/>
      <c r="F5" s="56"/>
    </row>
    <row r="6" spans="2:8" s="6" customFormat="1" ht="29" x14ac:dyDescent="0.35">
      <c r="B6" s="52">
        <v>3</v>
      </c>
      <c r="C6" s="57" t="s">
        <v>127</v>
      </c>
      <c r="D6" s="58" t="s">
        <v>128</v>
      </c>
      <c r="E6" s="51"/>
      <c r="F6" s="37"/>
    </row>
    <row r="7" spans="2:8" s="6" customFormat="1" x14ac:dyDescent="0.35">
      <c r="B7" s="52">
        <v>4</v>
      </c>
      <c r="C7" s="57" t="s">
        <v>129</v>
      </c>
      <c r="D7" s="58" t="s">
        <v>130</v>
      </c>
      <c r="E7" s="51"/>
      <c r="F7" s="37"/>
    </row>
    <row r="8" spans="2:8" s="6" customFormat="1" x14ac:dyDescent="0.35">
      <c r="B8" s="52">
        <v>5</v>
      </c>
      <c r="C8" s="57" t="s">
        <v>131</v>
      </c>
      <c r="D8" s="58" t="s">
        <v>132</v>
      </c>
      <c r="E8" s="51"/>
      <c r="F8" s="37"/>
    </row>
    <row r="9" spans="2:8" s="6" customFormat="1" ht="29" x14ac:dyDescent="0.35">
      <c r="B9" s="52">
        <v>6</v>
      </c>
      <c r="C9" s="57" t="s">
        <v>133</v>
      </c>
      <c r="D9" s="58" t="s">
        <v>134</v>
      </c>
      <c r="E9" s="51"/>
      <c r="F9" s="37"/>
    </row>
    <row r="10" spans="2:8" ht="29" x14ac:dyDescent="0.35">
      <c r="B10" s="52">
        <v>7</v>
      </c>
      <c r="C10" s="57" t="s">
        <v>135</v>
      </c>
      <c r="D10" s="58" t="s">
        <v>136</v>
      </c>
      <c r="E10" s="57"/>
      <c r="F10" s="47"/>
    </row>
    <row r="11" spans="2:8" ht="29" x14ac:dyDescent="0.35">
      <c r="B11" s="52">
        <v>8</v>
      </c>
      <c r="C11" s="57" t="s">
        <v>13</v>
      </c>
      <c r="D11" s="58" t="s">
        <v>137</v>
      </c>
      <c r="E11" s="57"/>
      <c r="F11" s="47"/>
    </row>
    <row r="12" spans="2:8" ht="29" x14ac:dyDescent="0.35">
      <c r="B12" s="52">
        <v>9</v>
      </c>
      <c r="C12" s="57" t="s">
        <v>138</v>
      </c>
      <c r="D12" s="58" t="s">
        <v>139</v>
      </c>
      <c r="E12" s="57"/>
      <c r="F12" s="47"/>
    </row>
    <row r="13" spans="2:8" x14ac:dyDescent="0.35">
      <c r="B13" s="52">
        <v>10</v>
      </c>
      <c r="C13" s="57" t="s">
        <v>140</v>
      </c>
      <c r="D13" s="58" t="s">
        <v>141</v>
      </c>
      <c r="E13" s="57"/>
      <c r="F13" s="47"/>
    </row>
    <row r="14" spans="2:8" ht="14.5" customHeight="1" x14ac:dyDescent="0.35">
      <c r="B14" s="47"/>
      <c r="C14" s="57"/>
      <c r="D14" s="58"/>
      <c r="E14" s="57"/>
      <c r="F14" s="47"/>
    </row>
    <row r="15" spans="2:8" x14ac:dyDescent="0.35">
      <c r="B15" s="47">
        <v>11</v>
      </c>
      <c r="C15" s="47" t="s">
        <v>29</v>
      </c>
      <c r="D15" s="58" t="s">
        <v>142</v>
      </c>
      <c r="E15" s="57"/>
      <c r="F15" s="47" t="s">
        <v>143</v>
      </c>
    </row>
    <row r="16" spans="2:8" x14ac:dyDescent="0.35">
      <c r="B16" s="47">
        <v>12</v>
      </c>
      <c r="C16" s="47" t="s">
        <v>144</v>
      </c>
      <c r="D16" s="58" t="s">
        <v>145</v>
      </c>
      <c r="E16" s="57"/>
      <c r="F16" s="47"/>
    </row>
    <row r="17" spans="2:6" ht="29" x14ac:dyDescent="0.35">
      <c r="B17" s="47">
        <v>13</v>
      </c>
      <c r="C17" s="47" t="s">
        <v>146</v>
      </c>
      <c r="D17" s="58" t="s">
        <v>147</v>
      </c>
      <c r="E17" s="57"/>
      <c r="F17" s="47"/>
    </row>
    <row r="18" spans="2:6" x14ac:dyDescent="0.35">
      <c r="B18" s="47">
        <v>14</v>
      </c>
      <c r="C18" s="47" t="s">
        <v>148</v>
      </c>
      <c r="D18" s="58" t="s">
        <v>149</v>
      </c>
      <c r="E18" s="57"/>
      <c r="F18" s="47"/>
    </row>
    <row r="19" spans="2:6" x14ac:dyDescent="0.35">
      <c r="B19" s="47">
        <v>15</v>
      </c>
      <c r="C19" s="47" t="s">
        <v>150</v>
      </c>
      <c r="D19" s="58" t="s">
        <v>151</v>
      </c>
      <c r="E19" s="57"/>
      <c r="F19" s="47"/>
    </row>
    <row r="20" spans="2:6" x14ac:dyDescent="0.35">
      <c r="B20" s="47">
        <v>16</v>
      </c>
      <c r="C20" s="47" t="s">
        <v>152</v>
      </c>
      <c r="D20" s="58" t="s">
        <v>153</v>
      </c>
      <c r="E20" s="57"/>
      <c r="F20" s="47"/>
    </row>
    <row r="21" spans="2:6" x14ac:dyDescent="0.35">
      <c r="B21" s="47">
        <v>17</v>
      </c>
      <c r="C21" s="47" t="s">
        <v>154</v>
      </c>
      <c r="D21" s="58" t="s">
        <v>155</v>
      </c>
      <c r="E21" s="57"/>
      <c r="F21" s="47"/>
    </row>
    <row r="22" spans="2:6" ht="29" x14ac:dyDescent="0.35">
      <c r="B22" s="47">
        <v>18</v>
      </c>
      <c r="C22" s="47" t="s">
        <v>156</v>
      </c>
      <c r="D22" s="58" t="s">
        <v>157</v>
      </c>
      <c r="E22" s="57"/>
      <c r="F22" s="47"/>
    </row>
    <row r="23" spans="2:6" x14ac:dyDescent="0.35">
      <c r="B23" s="47">
        <v>19</v>
      </c>
      <c r="C23" s="59" t="s">
        <v>37</v>
      </c>
      <c r="D23" s="58" t="s">
        <v>158</v>
      </c>
      <c r="E23" s="57"/>
      <c r="F23" s="47" t="s">
        <v>159</v>
      </c>
    </row>
    <row r="24" spans="2:6" ht="14.5" customHeight="1" x14ac:dyDescent="0.35">
      <c r="B24" s="47"/>
      <c r="C24" s="57"/>
      <c r="D24" s="58"/>
      <c r="E24" s="57"/>
      <c r="F24" s="47"/>
    </row>
    <row r="25" spans="2:6" x14ac:dyDescent="0.35">
      <c r="B25" s="47">
        <v>20</v>
      </c>
      <c r="C25" s="47" t="s">
        <v>39</v>
      </c>
      <c r="D25" s="58" t="s">
        <v>160</v>
      </c>
      <c r="E25" s="57" t="s">
        <v>161</v>
      </c>
      <c r="F25" s="59" t="s">
        <v>162</v>
      </c>
    </row>
    <row r="26" spans="2:6" x14ac:dyDescent="0.35">
      <c r="B26" s="47">
        <v>21</v>
      </c>
      <c r="C26" s="47" t="s">
        <v>40</v>
      </c>
      <c r="D26" s="58" t="s">
        <v>163</v>
      </c>
      <c r="E26" s="57" t="s">
        <v>164</v>
      </c>
      <c r="F26" s="47"/>
    </row>
    <row r="27" spans="2:6" x14ac:dyDescent="0.35">
      <c r="B27" s="47">
        <v>22</v>
      </c>
      <c r="C27" s="47" t="s">
        <v>41</v>
      </c>
      <c r="D27" s="58" t="s">
        <v>165</v>
      </c>
      <c r="E27" s="57"/>
      <c r="F27" s="47"/>
    </row>
    <row r="28" spans="2:6" ht="29" x14ac:dyDescent="0.35">
      <c r="B28" s="47">
        <v>23</v>
      </c>
      <c r="C28" s="47" t="s">
        <v>42</v>
      </c>
      <c r="D28" s="58" t="s">
        <v>166</v>
      </c>
      <c r="E28" s="57"/>
      <c r="F28" s="47"/>
    </row>
    <row r="29" spans="2:6" x14ac:dyDescent="0.35">
      <c r="B29" s="47">
        <v>24</v>
      </c>
      <c r="C29" s="47" t="s">
        <v>43</v>
      </c>
      <c r="D29" s="58" t="s">
        <v>167</v>
      </c>
      <c r="E29" s="57"/>
      <c r="F29" s="47"/>
    </row>
    <row r="30" spans="2:6" x14ac:dyDescent="0.35">
      <c r="B30" s="47">
        <v>25</v>
      </c>
      <c r="C30" s="47" t="s">
        <v>44</v>
      </c>
      <c r="D30" s="58" t="s">
        <v>168</v>
      </c>
      <c r="E30" s="57"/>
      <c r="F30" s="47"/>
    </row>
    <row r="31" spans="2:6" ht="29" x14ac:dyDescent="0.35">
      <c r="B31" s="47">
        <v>26</v>
      </c>
      <c r="C31" s="47" t="s">
        <v>45</v>
      </c>
      <c r="D31" s="58" t="s">
        <v>169</v>
      </c>
      <c r="E31" s="57" t="s">
        <v>170</v>
      </c>
      <c r="F31" s="60"/>
    </row>
    <row r="32" spans="2:6" ht="14.5" customHeight="1" x14ac:dyDescent="0.35">
      <c r="B32" s="47"/>
      <c r="C32" s="57"/>
      <c r="D32" s="58"/>
      <c r="E32" s="57"/>
      <c r="F32" s="47"/>
    </row>
    <row r="33" spans="2:6" ht="29" x14ac:dyDescent="0.35">
      <c r="B33" s="47">
        <v>27</v>
      </c>
      <c r="C33" s="47" t="s">
        <v>171</v>
      </c>
      <c r="D33" s="58" t="s">
        <v>172</v>
      </c>
      <c r="E33" s="47" t="s">
        <v>173</v>
      </c>
      <c r="F33" s="47"/>
    </row>
    <row r="34" spans="2:6" x14ac:dyDescent="0.35">
      <c r="B34" s="47">
        <v>28</v>
      </c>
      <c r="C34" s="47" t="s">
        <v>174</v>
      </c>
      <c r="D34" s="58" t="s">
        <v>175</v>
      </c>
      <c r="E34" s="57" t="s">
        <v>176</v>
      </c>
      <c r="F34" s="47"/>
    </row>
    <row r="35" spans="2:6" x14ac:dyDescent="0.35">
      <c r="B35" s="47">
        <v>29</v>
      </c>
      <c r="C35" s="47" t="s">
        <v>177</v>
      </c>
      <c r="D35" s="58" t="s">
        <v>178</v>
      </c>
      <c r="E35" s="57" t="s">
        <v>179</v>
      </c>
      <c r="F35" s="47"/>
    </row>
    <row r="36" spans="2:6" ht="29" x14ac:dyDescent="0.35">
      <c r="B36" s="47">
        <v>30</v>
      </c>
      <c r="C36" s="47" t="s">
        <v>180</v>
      </c>
      <c r="D36" s="58" t="s">
        <v>181</v>
      </c>
      <c r="E36" s="61" t="s">
        <v>182</v>
      </c>
      <c r="F36" s="57" t="s">
        <v>183</v>
      </c>
    </row>
    <row r="37" spans="2:6" ht="29" x14ac:dyDescent="0.35">
      <c r="B37" s="47">
        <v>30</v>
      </c>
      <c r="C37" s="47" t="s">
        <v>47</v>
      </c>
      <c r="D37" s="58" t="s">
        <v>184</v>
      </c>
      <c r="E37" s="61" t="s">
        <v>185</v>
      </c>
      <c r="F37" s="57"/>
    </row>
    <row r="38" spans="2:6" ht="29" x14ac:dyDescent="0.35">
      <c r="B38" s="47">
        <v>31</v>
      </c>
      <c r="C38" s="57" t="s">
        <v>186</v>
      </c>
      <c r="D38" s="58" t="s">
        <v>187</v>
      </c>
      <c r="E38" s="57" t="s">
        <v>188</v>
      </c>
      <c r="F38" s="60"/>
    </row>
    <row r="41" spans="2:6" ht="29" x14ac:dyDescent="0.35">
      <c r="B41" s="47">
        <v>1</v>
      </c>
      <c r="C41" s="57" t="s">
        <v>53</v>
      </c>
      <c r="D41" s="58" t="s">
        <v>189</v>
      </c>
      <c r="E41" s="57"/>
      <c r="F41" s="47"/>
    </row>
    <row r="42" spans="2:6" ht="43.5" x14ac:dyDescent="0.35">
      <c r="B42" s="47">
        <v>2</v>
      </c>
      <c r="C42" s="47" t="s">
        <v>65</v>
      </c>
      <c r="D42" s="63" t="s">
        <v>190</v>
      </c>
      <c r="E42" s="298" t="s">
        <v>191</v>
      </c>
      <c r="F42" s="47"/>
    </row>
    <row r="43" spans="2:6" ht="29" x14ac:dyDescent="0.35">
      <c r="B43" s="47">
        <v>3</v>
      </c>
      <c r="C43" s="47" t="s">
        <v>192</v>
      </c>
      <c r="D43" s="64" t="s">
        <v>193</v>
      </c>
      <c r="E43" s="298"/>
      <c r="F43" s="47"/>
    </row>
    <row r="44" spans="2:6" ht="43.5" x14ac:dyDescent="0.35">
      <c r="B44" s="47">
        <v>4</v>
      </c>
      <c r="C44" s="47" t="s">
        <v>69</v>
      </c>
      <c r="D44" s="64" t="s">
        <v>194</v>
      </c>
      <c r="E44" s="298"/>
      <c r="F44" s="47"/>
    </row>
    <row r="45" spans="2:6" ht="29.15" customHeight="1" x14ac:dyDescent="0.35">
      <c r="B45" s="47">
        <v>5</v>
      </c>
      <c r="C45" s="47" t="s">
        <v>72</v>
      </c>
      <c r="D45" s="101" t="s">
        <v>73</v>
      </c>
      <c r="E45" s="298" t="s">
        <v>195</v>
      </c>
      <c r="F45" s="47"/>
    </row>
    <row r="46" spans="2:6" ht="29" x14ac:dyDescent="0.35">
      <c r="B46" s="47">
        <v>6</v>
      </c>
      <c r="C46" s="57" t="s">
        <v>74</v>
      </c>
      <c r="D46" s="101" t="s">
        <v>75</v>
      </c>
      <c r="E46" s="298"/>
      <c r="F46" s="47"/>
    </row>
    <row r="47" spans="2:6" ht="43.5" x14ac:dyDescent="0.35">
      <c r="B47" s="47">
        <v>7</v>
      </c>
      <c r="C47" s="47" t="s">
        <v>196</v>
      </c>
      <c r="D47" s="58" t="s">
        <v>77</v>
      </c>
      <c r="E47" s="298"/>
      <c r="F47" s="47"/>
    </row>
    <row r="48" spans="2:6" x14ac:dyDescent="0.35">
      <c r="C48" s="98"/>
      <c r="D48"/>
    </row>
    <row r="49" spans="2:6" x14ac:dyDescent="0.35">
      <c r="C49" s="98"/>
      <c r="D49" s="102"/>
    </row>
    <row r="50" spans="2:6" ht="29" x14ac:dyDescent="0.35">
      <c r="B50" s="47">
        <v>1</v>
      </c>
      <c r="C50" s="47" t="s">
        <v>84</v>
      </c>
      <c r="D50" s="58" t="s">
        <v>197</v>
      </c>
      <c r="E50" s="57"/>
      <c r="F50" s="47"/>
    </row>
    <row r="51" spans="2:6" x14ac:dyDescent="0.35">
      <c r="B51" s="47">
        <v>2</v>
      </c>
      <c r="C51" s="47" t="s">
        <v>85</v>
      </c>
      <c r="D51" s="58" t="s">
        <v>198</v>
      </c>
      <c r="E51" s="57"/>
      <c r="F51" s="47"/>
    </row>
    <row r="52" spans="2:6" x14ac:dyDescent="0.35">
      <c r="B52" s="47">
        <v>3</v>
      </c>
      <c r="C52" s="65" t="s">
        <v>115</v>
      </c>
      <c r="D52" s="58" t="s">
        <v>199</v>
      </c>
      <c r="E52" s="57"/>
      <c r="F52" s="47"/>
    </row>
    <row r="53" spans="2:6" ht="29" x14ac:dyDescent="0.35">
      <c r="B53" s="47">
        <v>4</v>
      </c>
      <c r="C53" s="47" t="s">
        <v>200</v>
      </c>
      <c r="D53" s="58" t="s">
        <v>201</v>
      </c>
      <c r="E53" s="57"/>
      <c r="F53" s="47"/>
    </row>
    <row r="54" spans="2:6" ht="43.5" x14ac:dyDescent="0.35">
      <c r="B54" s="47">
        <v>5</v>
      </c>
      <c r="C54" s="47" t="s">
        <v>202</v>
      </c>
      <c r="D54" s="58" t="s">
        <v>203</v>
      </c>
      <c r="E54" s="57"/>
      <c r="F54" s="47"/>
    </row>
  </sheetData>
  <mergeCells count="3">
    <mergeCell ref="E42:E44"/>
    <mergeCell ref="E45:E47"/>
    <mergeCell ref="B2:F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C81B-DF00-4739-B47D-4239B4D89705}">
  <sheetPr codeName="Tabelle8">
    <tabColor theme="4" tint="0.59999389629810485"/>
    <pageSetUpPr fitToPage="1"/>
  </sheetPr>
  <dimension ref="A1:N58"/>
  <sheetViews>
    <sheetView showGridLines="0" zoomScale="80" zoomScaleNormal="80" workbookViewId="0">
      <selection activeCell="H14" sqref="H14"/>
    </sheetView>
  </sheetViews>
  <sheetFormatPr defaultColWidth="10.81640625" defaultRowHeight="14.5" outlineLevelRow="1" x14ac:dyDescent="0.35"/>
  <cols>
    <col min="1" max="1" width="35" bestFit="1" customWidth="1"/>
    <col min="2" max="12" width="16.54296875" customWidth="1"/>
    <col min="13" max="13" width="16.54296875" bestFit="1" customWidth="1"/>
    <col min="14" max="14" width="14.1796875" bestFit="1" customWidth="1"/>
    <col min="15" max="15" width="11.81640625" bestFit="1" customWidth="1"/>
  </cols>
  <sheetData>
    <row r="1" spans="1:14" ht="15" thickBot="1" x14ac:dyDescent="0.4"/>
    <row r="2" spans="1:14" ht="15.75" customHeight="1" x14ac:dyDescent="0.35">
      <c r="C2" s="5" t="s">
        <v>0</v>
      </c>
      <c r="E2" s="307">
        <f>'BC Summary US$'!E2</f>
        <v>0</v>
      </c>
      <c r="F2" s="239"/>
      <c r="G2" s="240"/>
      <c r="I2" s="226" t="s">
        <v>1</v>
      </c>
      <c r="J2" s="227"/>
      <c r="K2" s="227"/>
      <c r="L2" s="227"/>
      <c r="M2" s="228"/>
    </row>
    <row r="3" spans="1:14" ht="15" customHeight="1" x14ac:dyDescent="0.35">
      <c r="C3" s="1" t="s">
        <v>2</v>
      </c>
      <c r="E3" s="241"/>
      <c r="F3" s="242"/>
      <c r="G3" s="243"/>
      <c r="I3" s="308">
        <f>'BC Summary US$'!I3</f>
        <v>0</v>
      </c>
      <c r="J3" s="309"/>
      <c r="K3" s="309"/>
      <c r="L3" s="309"/>
      <c r="M3" s="310"/>
    </row>
    <row r="4" spans="1:14" ht="15" customHeight="1" x14ac:dyDescent="0.35">
      <c r="I4" s="308"/>
      <c r="J4" s="309"/>
      <c r="K4" s="309"/>
      <c r="L4" s="309"/>
      <c r="M4" s="310"/>
    </row>
    <row r="5" spans="1:14" ht="15" customHeight="1" x14ac:dyDescent="0.35">
      <c r="I5" s="308"/>
      <c r="J5" s="309"/>
      <c r="K5" s="309"/>
      <c r="L5" s="309"/>
      <c r="M5" s="310"/>
    </row>
    <row r="6" spans="1:14" ht="15.75" customHeight="1" x14ac:dyDescent="0.35">
      <c r="A6" s="237" t="s">
        <v>204</v>
      </c>
      <c r="B6" s="237"/>
      <c r="E6" s="244" t="s">
        <v>4</v>
      </c>
      <c r="F6" s="245"/>
      <c r="G6" s="245"/>
      <c r="I6" s="308"/>
      <c r="J6" s="309"/>
      <c r="K6" s="309"/>
      <c r="L6" s="309"/>
      <c r="M6" s="310"/>
    </row>
    <row r="7" spans="1:14" ht="15.75" customHeight="1" thickBot="1" x14ac:dyDescent="0.4">
      <c r="E7" s="245"/>
      <c r="F7" s="245"/>
      <c r="G7" s="245"/>
      <c r="I7" s="311"/>
      <c r="J7" s="312"/>
      <c r="K7" s="312"/>
      <c r="L7" s="312"/>
      <c r="M7" s="313"/>
    </row>
    <row r="8" spans="1:14" ht="15.5" x14ac:dyDescent="0.35">
      <c r="A8" s="112" t="s">
        <v>5</v>
      </c>
      <c r="B8" s="303">
        <f>'BC Summary US$'!B8</f>
        <v>0</v>
      </c>
      <c r="C8" s="30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ht="15.5" x14ac:dyDescent="0.35">
      <c r="A9" s="112" t="s">
        <v>6</v>
      </c>
      <c r="B9" s="303">
        <f>'BC Summary US$'!B9</f>
        <v>0</v>
      </c>
      <c r="C9" s="30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ht="15.5" x14ac:dyDescent="0.3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ht="15.5" x14ac:dyDescent="0.35">
      <c r="A11" s="112" t="s">
        <v>7</v>
      </c>
      <c r="B11" s="211">
        <f>'BC Summary US$'!B11</f>
        <v>0</v>
      </c>
      <c r="C11" s="113"/>
      <c r="D11" s="112" t="s">
        <v>8</v>
      </c>
      <c r="E11" s="212">
        <f>'BC Summary US$'!E11</f>
        <v>44562</v>
      </c>
      <c r="F11" s="113"/>
      <c r="G11" s="112" t="s">
        <v>9</v>
      </c>
      <c r="H11" s="116">
        <v>8.4000000000000005E-2</v>
      </c>
      <c r="I11" s="113"/>
      <c r="J11" s="117" t="s">
        <v>10</v>
      </c>
      <c r="K11" s="113"/>
      <c r="L11" s="113"/>
      <c r="M11" s="113"/>
      <c r="N11" s="113"/>
    </row>
    <row r="12" spans="1:14" ht="15.5" x14ac:dyDescent="0.35">
      <c r="A12" s="112" t="s">
        <v>11</v>
      </c>
      <c r="B12" s="213">
        <f>'BC Summary US$'!B12</f>
        <v>0</v>
      </c>
      <c r="C12" s="113"/>
      <c r="D12" s="112" t="s">
        <v>12</v>
      </c>
      <c r="E12" s="212">
        <f>'BC Summary US$'!E12</f>
        <v>0</v>
      </c>
      <c r="F12" s="113"/>
      <c r="G12" s="112" t="s">
        <v>13</v>
      </c>
      <c r="H12" s="119">
        <f>'Expected value'!P22</f>
        <v>0.6</v>
      </c>
      <c r="I12" s="113"/>
      <c r="J12" s="120" t="s">
        <v>14</v>
      </c>
      <c r="K12" s="119">
        <f>'BC Summary US$'!K12</f>
        <v>0.2</v>
      </c>
      <c r="L12" s="113"/>
      <c r="M12" s="113"/>
      <c r="N12" s="113"/>
    </row>
    <row r="13" spans="1:14" ht="15.5" x14ac:dyDescent="0.35">
      <c r="A13" s="112" t="s">
        <v>15</v>
      </c>
      <c r="B13" s="211">
        <f>'BC Summary US$'!B13</f>
        <v>541</v>
      </c>
      <c r="C13" s="113"/>
      <c r="D13" s="112" t="s">
        <v>16</v>
      </c>
      <c r="E13" s="212">
        <f>'BC Summary US$'!E13</f>
        <v>0</v>
      </c>
      <c r="F13" s="113"/>
      <c r="G13" s="112" t="s">
        <v>17</v>
      </c>
      <c r="H13" s="216">
        <f>'BC Summary US$'!H13</f>
        <v>0.96260000000000001</v>
      </c>
      <c r="I13" s="113"/>
      <c r="J13" s="120" t="s">
        <v>18</v>
      </c>
      <c r="K13" s="119">
        <f>'BC Summary US$'!K13</f>
        <v>0.5</v>
      </c>
      <c r="L13" s="113"/>
      <c r="M13" s="113"/>
      <c r="N13" s="113"/>
    </row>
    <row r="14" spans="1:14" ht="15.5" x14ac:dyDescent="0.35">
      <c r="A14" s="112" t="s">
        <v>19</v>
      </c>
      <c r="B14" s="211">
        <f>'BC Summary US$'!B14</f>
        <v>0</v>
      </c>
      <c r="C14" s="113"/>
      <c r="D14" s="112" t="s">
        <v>20</v>
      </c>
      <c r="E14" s="122">
        <f>DATEDIF(E12,E13,"m")</f>
        <v>0</v>
      </c>
      <c r="F14" s="113"/>
      <c r="G14" s="112" t="s">
        <v>21</v>
      </c>
      <c r="H14" s="216">
        <f>IF('Revenue details'!C5="EUR", H13, 1)</f>
        <v>0.96260000000000001</v>
      </c>
      <c r="I14" s="113"/>
      <c r="J14" s="120" t="s">
        <v>22</v>
      </c>
      <c r="K14" s="119">
        <f>'BC Summary US$'!K14</f>
        <v>0.3</v>
      </c>
      <c r="L14" s="113"/>
      <c r="M14" s="113"/>
      <c r="N14" s="113"/>
    </row>
    <row r="15" spans="1:14" ht="15.5" x14ac:dyDescent="0.35">
      <c r="A15" s="112" t="s">
        <v>23</v>
      </c>
      <c r="B15" s="211">
        <f>'BC Summary US$'!B15</f>
        <v>0</v>
      </c>
      <c r="C15" s="113"/>
      <c r="D15" s="112" t="s">
        <v>24</v>
      </c>
      <c r="E15" s="212">
        <f>'BC Summary US$'!E15</f>
        <v>0</v>
      </c>
      <c r="F15" s="113"/>
      <c r="G15" s="112" t="s">
        <v>25</v>
      </c>
      <c r="H15" s="211" t="str">
        <f>'BC Summary US$'!H15</f>
        <v>Standard</v>
      </c>
      <c r="I15" s="113"/>
      <c r="J15" s="113"/>
      <c r="K15" s="113"/>
      <c r="L15" s="113"/>
      <c r="M15" s="113"/>
      <c r="N15" s="113"/>
    </row>
    <row r="16" spans="1:14" ht="16" thickBot="1" x14ac:dyDescent="0.4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1:14" ht="16" thickBot="1" x14ac:dyDescent="0.4">
      <c r="A17" s="123" t="s">
        <v>27</v>
      </c>
      <c r="B17" s="124">
        <f>YEAR(E11)</f>
        <v>2022</v>
      </c>
      <c r="C17" s="125">
        <f>B17+1</f>
        <v>2023</v>
      </c>
      <c r="D17" s="125">
        <f>C17+1</f>
        <v>2024</v>
      </c>
      <c r="E17" s="125">
        <f t="shared" ref="E17:L17" si="0">D17+1</f>
        <v>2025</v>
      </c>
      <c r="F17" s="125">
        <f t="shared" si="0"/>
        <v>2026</v>
      </c>
      <c r="G17" s="125">
        <f t="shared" si="0"/>
        <v>2027</v>
      </c>
      <c r="H17" s="125">
        <f t="shared" si="0"/>
        <v>2028</v>
      </c>
      <c r="I17" s="125">
        <f t="shared" si="0"/>
        <v>2029</v>
      </c>
      <c r="J17" s="125">
        <f t="shared" si="0"/>
        <v>2030</v>
      </c>
      <c r="K17" s="125">
        <f t="shared" si="0"/>
        <v>2031</v>
      </c>
      <c r="L17" s="126">
        <f t="shared" si="0"/>
        <v>2032</v>
      </c>
      <c r="M17" s="127" t="s">
        <v>28</v>
      </c>
      <c r="N17" s="113"/>
    </row>
    <row r="18" spans="1:14" ht="15.5" x14ac:dyDescent="0.35">
      <c r="A18" s="128" t="s">
        <v>29</v>
      </c>
      <c r="B18" s="129">
        <f>B19+B22+$H$14*SUM('Revenue details'!E190:H190)/1000</f>
        <v>0</v>
      </c>
      <c r="C18" s="130">
        <f>C19+C22+$H$14*SUM('Revenue details'!I190:L190)/1000</f>
        <v>0</v>
      </c>
      <c r="D18" s="130">
        <f>D19+D22+$H$14*SUM('Revenue details'!M190:P190)/1000</f>
        <v>0</v>
      </c>
      <c r="E18" s="130">
        <f>E19+E22+$H$14*SUM('Revenue details'!Q190:T190)/1000</f>
        <v>0</v>
      </c>
      <c r="F18" s="130">
        <f>F19+F22+$H$14*SUM('Revenue details'!U190:X190)/1000</f>
        <v>0</v>
      </c>
      <c r="G18" s="130">
        <f>G19+G22+$H$14*SUM('Revenue details'!Y190:AB190)/1000</f>
        <v>0</v>
      </c>
      <c r="H18" s="130">
        <f>H19+H22+$H$14*SUM('Revenue details'!AC190:AF190)/1000</f>
        <v>0</v>
      </c>
      <c r="I18" s="130">
        <f>I19+I22+$H$14*SUM('Revenue details'!AG190:AJ190)/1000</f>
        <v>0</v>
      </c>
      <c r="J18" s="130">
        <f>J19+J22+$H$14*SUM('Revenue details'!AK190:AN190)/1000</f>
        <v>0</v>
      </c>
      <c r="K18" s="131">
        <f>K19+K22+$H$14*SUM('Revenue details'!AO190:AR190)/1000</f>
        <v>0</v>
      </c>
      <c r="L18" s="132">
        <f>L19+L22+$H$14*SUM('Revenue details'!AS190:AV190)/1000</f>
        <v>0</v>
      </c>
      <c r="M18" s="133">
        <f>SUM(B18:L18)</f>
        <v>0</v>
      </c>
      <c r="N18" s="113"/>
    </row>
    <row r="19" spans="1:14" ht="15.5" x14ac:dyDescent="0.35">
      <c r="A19" s="134" t="s">
        <v>30</v>
      </c>
      <c r="B19" s="135">
        <f>SUM(B20:B21)</f>
        <v>0</v>
      </c>
      <c r="C19" s="136">
        <f t="shared" ref="C19:L19" si="1">SUM(C20:C21)</f>
        <v>0</v>
      </c>
      <c r="D19" s="136">
        <f t="shared" si="1"/>
        <v>0</v>
      </c>
      <c r="E19" s="136">
        <f t="shared" si="1"/>
        <v>0</v>
      </c>
      <c r="F19" s="136">
        <f t="shared" si="1"/>
        <v>0</v>
      </c>
      <c r="G19" s="136">
        <f t="shared" si="1"/>
        <v>0</v>
      </c>
      <c r="H19" s="136">
        <f t="shared" si="1"/>
        <v>0</v>
      </c>
      <c r="I19" s="136">
        <f t="shared" si="1"/>
        <v>0</v>
      </c>
      <c r="J19" s="136">
        <f t="shared" si="1"/>
        <v>0</v>
      </c>
      <c r="K19" s="137">
        <f t="shared" si="1"/>
        <v>0</v>
      </c>
      <c r="L19" s="138">
        <f t="shared" si="1"/>
        <v>0</v>
      </c>
      <c r="M19" s="139"/>
      <c r="N19" s="113"/>
    </row>
    <row r="20" spans="1:14" ht="15.5" hidden="1" outlineLevel="1" x14ac:dyDescent="0.35">
      <c r="A20" s="134" t="s">
        <v>31</v>
      </c>
      <c r="B20" s="140">
        <f>$H$14*$H$12*SUM('Revenue details'!E185:H185)/1000</f>
        <v>0</v>
      </c>
      <c r="C20" s="137">
        <f>$H$14*$H$12*SUM('Revenue details'!I185:L185)/1000</f>
        <v>0</v>
      </c>
      <c r="D20" s="137">
        <f>$H$14*$H$12*SUM('Revenue details'!M185:P185)/1000</f>
        <v>0</v>
      </c>
      <c r="E20" s="137">
        <f>$H$14*$H$12*SUM('Revenue details'!Q185:T185)/1000</f>
        <v>0</v>
      </c>
      <c r="F20" s="137">
        <f>$H$14*$H$12*SUM('Revenue details'!U185:X185)/1000</f>
        <v>0</v>
      </c>
      <c r="G20" s="137">
        <f>$H$14*$H$12*SUM('Revenue details'!Y185:AB185)/1000</f>
        <v>0</v>
      </c>
      <c r="H20" s="137">
        <f>$H$14*$H$12*SUM('Revenue details'!AC185:AF185)/1000</f>
        <v>0</v>
      </c>
      <c r="I20" s="137">
        <f>$H$14*$H$12*SUM('Revenue details'!AG185:AJ185)/1000</f>
        <v>0</v>
      </c>
      <c r="J20" s="137">
        <f>$H$14*$H$12*SUM('Revenue details'!AK185:AN185)/1000</f>
        <v>0</v>
      </c>
      <c r="K20" s="137">
        <f>$H$14*$H$12*SUM('Revenue details'!AO185:AR185)/1000</f>
        <v>0</v>
      </c>
      <c r="L20" s="141">
        <f>$H$14*$H$12*SUM('Revenue details'!AS185:AV185)/1000</f>
        <v>0</v>
      </c>
      <c r="M20" s="139"/>
      <c r="N20" s="113"/>
    </row>
    <row r="21" spans="1:14" ht="15.5" hidden="1" outlineLevel="1" x14ac:dyDescent="0.35">
      <c r="A21" s="134" t="s">
        <v>32</v>
      </c>
      <c r="B21" s="140">
        <f>$H$14*$H$12*SUM('Revenue details'!E186:H186)/1000</f>
        <v>0</v>
      </c>
      <c r="C21" s="137">
        <f>$H$14*$H$12*SUM('Revenue details'!I186:L186)/1000</f>
        <v>0</v>
      </c>
      <c r="D21" s="137">
        <f>$H$14*$H$12*SUM('Revenue details'!M186:P186)/1000</f>
        <v>0</v>
      </c>
      <c r="E21" s="137">
        <f>$H$14*$H$12*SUM('Revenue details'!Q186:T186)/1000</f>
        <v>0</v>
      </c>
      <c r="F21" s="137">
        <f>$H$14*$H$12*SUM('Revenue details'!U186:X186)/1000</f>
        <v>0</v>
      </c>
      <c r="G21" s="137">
        <f>$H$14*$H$12*SUM('Revenue details'!Y186:AB186)/1000</f>
        <v>0</v>
      </c>
      <c r="H21" s="137">
        <f>$H$14*$H$12*SUM('Revenue details'!AC186:AF186)/1000</f>
        <v>0</v>
      </c>
      <c r="I21" s="137">
        <f>$H$14*$H$12*SUM('Revenue details'!AG186:AJ186)/1000</f>
        <v>0</v>
      </c>
      <c r="J21" s="137">
        <f>$H$14*$H$12*SUM('Revenue details'!AK186:AN186)/1000</f>
        <v>0</v>
      </c>
      <c r="K21" s="137">
        <f>$H$14*$H$12*SUM('Revenue details'!AO186:AR186)/1000</f>
        <v>0</v>
      </c>
      <c r="L21" s="141">
        <f>$H$14*$H$12*SUM('Revenue details'!AS186:AV186)/1000</f>
        <v>0</v>
      </c>
      <c r="M21" s="139"/>
      <c r="N21" s="113"/>
    </row>
    <row r="22" spans="1:14" ht="15.5" collapsed="1" x14ac:dyDescent="0.35">
      <c r="A22" s="134" t="s">
        <v>33</v>
      </c>
      <c r="B22" s="135">
        <f>SUM(B23:B25)</f>
        <v>0</v>
      </c>
      <c r="C22" s="136">
        <f t="shared" ref="C22:L22" si="2">SUM(C23:C25)</f>
        <v>0</v>
      </c>
      <c r="D22" s="136">
        <f t="shared" si="2"/>
        <v>0</v>
      </c>
      <c r="E22" s="136">
        <f t="shared" si="2"/>
        <v>0</v>
      </c>
      <c r="F22" s="136">
        <f t="shared" si="2"/>
        <v>0</v>
      </c>
      <c r="G22" s="136">
        <f t="shared" si="2"/>
        <v>0</v>
      </c>
      <c r="H22" s="136">
        <f t="shared" si="2"/>
        <v>0</v>
      </c>
      <c r="I22" s="136">
        <f t="shared" si="2"/>
        <v>0</v>
      </c>
      <c r="J22" s="136">
        <f t="shared" si="2"/>
        <v>0</v>
      </c>
      <c r="K22" s="137">
        <f t="shared" si="2"/>
        <v>0</v>
      </c>
      <c r="L22" s="138">
        <f t="shared" si="2"/>
        <v>0</v>
      </c>
      <c r="M22" s="139"/>
      <c r="N22" s="113"/>
    </row>
    <row r="23" spans="1:14" ht="15.5" hidden="1" outlineLevel="1" x14ac:dyDescent="0.35">
      <c r="A23" s="134" t="s">
        <v>34</v>
      </c>
      <c r="B23" s="140">
        <f>$H$14*$H$12*SUM('Revenue details'!E187:H187)/1000</f>
        <v>0</v>
      </c>
      <c r="C23" s="137">
        <f>$H$14*$H$12*SUM('Revenue details'!I187:L187)/1000</f>
        <v>0</v>
      </c>
      <c r="D23" s="137">
        <f>$H$14*$H$12*SUM('Revenue details'!M187:P187)/1000</f>
        <v>0</v>
      </c>
      <c r="E23" s="137">
        <f>$H$14*$H$12*SUM('Revenue details'!Q187:T187)/1000</f>
        <v>0</v>
      </c>
      <c r="F23" s="137">
        <f>$H$14*$H$12*SUM('Revenue details'!U187:X187)/1000</f>
        <v>0</v>
      </c>
      <c r="G23" s="137">
        <f>$H$14*$H$12*SUM('Revenue details'!Y187:AB187)/1000</f>
        <v>0</v>
      </c>
      <c r="H23" s="137">
        <f>$H$14*$H$12*SUM('Revenue details'!AC187:AF187)/1000</f>
        <v>0</v>
      </c>
      <c r="I23" s="137">
        <f>$H$14*$H$12*SUM('Revenue details'!AG187:AJ187)/1000</f>
        <v>0</v>
      </c>
      <c r="J23" s="137">
        <f>$H$14*$H$12*SUM('Revenue details'!AK187:AN187)/1000</f>
        <v>0</v>
      </c>
      <c r="K23" s="137">
        <f>$H$14*$H$12*SUM('Revenue details'!AO187:AR187)/1000</f>
        <v>0</v>
      </c>
      <c r="L23" s="138">
        <f>$H$14*$H$12*SUM('Revenue details'!AS187:AV187)/1000</f>
        <v>0</v>
      </c>
      <c r="M23" s="139"/>
      <c r="N23" s="113"/>
    </row>
    <row r="24" spans="1:14" ht="15.5" hidden="1" outlineLevel="1" x14ac:dyDescent="0.35">
      <c r="A24" s="134" t="s">
        <v>35</v>
      </c>
      <c r="B24" s="140">
        <f>$H$14*$H$12*SUM('Revenue details'!E188:H188)/1000</f>
        <v>0</v>
      </c>
      <c r="C24" s="137">
        <f>$H$14*$H$12*SUM('Revenue details'!I188:L188)/1000</f>
        <v>0</v>
      </c>
      <c r="D24" s="137">
        <f>$H$14*$H$12*SUM('Revenue details'!M188:P188)/1000</f>
        <v>0</v>
      </c>
      <c r="E24" s="137">
        <f>$H$14*$H$12*SUM('Revenue details'!Q188:T188)/1000</f>
        <v>0</v>
      </c>
      <c r="F24" s="137">
        <f>$H$14*$H$12*SUM('Revenue details'!U188:X188)/1000</f>
        <v>0</v>
      </c>
      <c r="G24" s="137">
        <f>$H$14*$H$12*SUM('Revenue details'!Y188:AB188)/1000</f>
        <v>0</v>
      </c>
      <c r="H24" s="137">
        <f>$H$14*$H$12*SUM('Revenue details'!AC188:AF188)/1000</f>
        <v>0</v>
      </c>
      <c r="I24" s="137">
        <f>$H$14*$H$12*SUM('Revenue details'!AG188:AJ188)/1000</f>
        <v>0</v>
      </c>
      <c r="J24" s="137">
        <f>$H$14*$H$12*SUM('Revenue details'!AK188:AN188)/1000</f>
        <v>0</v>
      </c>
      <c r="K24" s="137">
        <f>$H$14*$H$12*SUM('Revenue details'!AO188:AR188)/1000</f>
        <v>0</v>
      </c>
      <c r="L24" s="138">
        <f>$H$14*$H$12*SUM('Revenue details'!AS188:AV188)/1000</f>
        <v>0</v>
      </c>
      <c r="M24" s="139"/>
      <c r="N24" s="113"/>
    </row>
    <row r="25" spans="1:14" ht="15.5" hidden="1" outlineLevel="1" x14ac:dyDescent="0.35">
      <c r="A25" s="134" t="s">
        <v>36</v>
      </c>
      <c r="B25" s="140">
        <f>$H$14*$H$12*SUM('Revenue details'!E189:H189)/1000</f>
        <v>0</v>
      </c>
      <c r="C25" s="137">
        <f>$H$14*$H$12*SUM('Revenue details'!I189:L189)/1000</f>
        <v>0</v>
      </c>
      <c r="D25" s="137">
        <f>$H$14*$H$12*SUM('Revenue details'!M189:P189)/1000</f>
        <v>0</v>
      </c>
      <c r="E25" s="137">
        <f>$H$14*$H$12*SUM('Revenue details'!Q189:T189)/1000</f>
        <v>0</v>
      </c>
      <c r="F25" s="137">
        <f>$H$14*$H$12*SUM('Revenue details'!U189:X189)/1000</f>
        <v>0</v>
      </c>
      <c r="G25" s="137">
        <f>$H$14*$H$12*SUM('Revenue details'!Y189:AB189)/1000</f>
        <v>0</v>
      </c>
      <c r="H25" s="137">
        <f>$H$14*$H$12*SUM('Revenue details'!AC189:AF189)/1000</f>
        <v>0</v>
      </c>
      <c r="I25" s="137">
        <f>$H$14*$H$12*SUM('Revenue details'!AG189:AJ189)/1000</f>
        <v>0</v>
      </c>
      <c r="J25" s="137">
        <f>$H$14*$H$12*SUM('Revenue details'!AK189:AN189)/1000</f>
        <v>0</v>
      </c>
      <c r="K25" s="137">
        <f>$H$14*$H$12*SUM('Revenue details'!AO189:AR189)/1000</f>
        <v>0</v>
      </c>
      <c r="L25" s="138">
        <f>$H$14*$H$12*SUM('Revenue details'!AS189:AV189)/1000</f>
        <v>0</v>
      </c>
      <c r="M25" s="139"/>
      <c r="N25" s="113"/>
    </row>
    <row r="26" spans="1:14" ht="15.5" collapsed="1" x14ac:dyDescent="0.35">
      <c r="A26" s="134" t="s">
        <v>37</v>
      </c>
      <c r="B26" s="140">
        <f>$H$14*$H$12*SUM('Revenue details'!E192:H192)/1000</f>
        <v>0</v>
      </c>
      <c r="C26" s="137">
        <f>$H$14*$H$12*SUM('Revenue details'!I192:L192)/1000</f>
        <v>0</v>
      </c>
      <c r="D26" s="137">
        <f>$H$14*$H$12*SUM('Revenue details'!M192:P192)/1000</f>
        <v>0</v>
      </c>
      <c r="E26" s="137">
        <f>$H$14*$H$12*SUM('Revenue details'!Q192:T192)/1000</f>
        <v>0</v>
      </c>
      <c r="F26" s="137">
        <f>$H$14*$H$12*SUM('Revenue details'!U192:X192)/1000</f>
        <v>0</v>
      </c>
      <c r="G26" s="137">
        <f>$H$14*$H$12*SUM('Revenue details'!Y192:AB192)/1000</f>
        <v>0</v>
      </c>
      <c r="H26" s="137">
        <f>$H$14*$H$12*SUM('Revenue details'!AC192:AF192)/1000</f>
        <v>0</v>
      </c>
      <c r="I26" s="137">
        <f>$H$14*$H$12*SUM('Revenue details'!AG192:AJ192)/1000</f>
        <v>0</v>
      </c>
      <c r="J26" s="137">
        <f>$H$14*$H$12*SUM('Revenue details'!AK192:AN192)/1000</f>
        <v>0</v>
      </c>
      <c r="K26" s="137">
        <f>$H$14*$H$12*SUM('Revenue details'!AO192:AR192)/1000</f>
        <v>0</v>
      </c>
      <c r="L26" s="138">
        <f>$H$14*$H$12*SUM('Revenue details'!AS192:AV192)/1000</f>
        <v>0</v>
      </c>
      <c r="M26" s="142">
        <f>SUM(B26:L26)</f>
        <v>0</v>
      </c>
      <c r="N26" s="113"/>
    </row>
    <row r="27" spans="1:14" ht="15.5" x14ac:dyDescent="0.35">
      <c r="A27" s="134" t="s">
        <v>38</v>
      </c>
      <c r="B27" s="143">
        <f>B18-B26</f>
        <v>0</v>
      </c>
      <c r="C27" s="137">
        <f t="shared" ref="C27:L27" si="3">C18-C26</f>
        <v>0</v>
      </c>
      <c r="D27" s="137">
        <f t="shared" si="3"/>
        <v>0</v>
      </c>
      <c r="E27" s="137">
        <f t="shared" si="3"/>
        <v>0</v>
      </c>
      <c r="F27" s="137">
        <f t="shared" si="3"/>
        <v>0</v>
      </c>
      <c r="G27" s="137">
        <f t="shared" si="3"/>
        <v>0</v>
      </c>
      <c r="H27" s="137">
        <f t="shared" si="3"/>
        <v>0</v>
      </c>
      <c r="I27" s="137">
        <f t="shared" si="3"/>
        <v>0</v>
      </c>
      <c r="J27" s="137">
        <f t="shared" si="3"/>
        <v>0</v>
      </c>
      <c r="K27" s="137">
        <f t="shared" si="3"/>
        <v>0</v>
      </c>
      <c r="L27" s="138">
        <f t="shared" si="3"/>
        <v>0</v>
      </c>
      <c r="M27" s="142">
        <f>SUM(B27:L27)</f>
        <v>0</v>
      </c>
      <c r="N27" s="113"/>
    </row>
    <row r="28" spans="1:14" ht="15.5" x14ac:dyDescent="0.35">
      <c r="A28" s="134" t="s">
        <v>39</v>
      </c>
      <c r="B28" s="143">
        <f>B27/(POWER((1+$H$11),0))</f>
        <v>0</v>
      </c>
      <c r="C28" s="137">
        <f>C27/(POWER((1+$H$11),1))</f>
        <v>0</v>
      </c>
      <c r="D28" s="137">
        <f>D27/(POWER((1+$H$11),2))</f>
        <v>0</v>
      </c>
      <c r="E28" s="137">
        <f>E27/(POWER((1+$H$11),3))</f>
        <v>0</v>
      </c>
      <c r="F28" s="137">
        <f>F27/(POWER((1+$H$11),4))</f>
        <v>0</v>
      </c>
      <c r="G28" s="137">
        <f>G27/(POWER((1+$H$11),5))</f>
        <v>0</v>
      </c>
      <c r="H28" s="137">
        <f>H27/(POWER((1+$H$11),6))</f>
        <v>0</v>
      </c>
      <c r="I28" s="137">
        <f>I27/(POWER((1+$H$11),7))</f>
        <v>0</v>
      </c>
      <c r="J28" s="137">
        <f>J27/(POWER((1+$H$11),8))</f>
        <v>0</v>
      </c>
      <c r="K28" s="137">
        <f>K27/(POWER((1+$H$11),9))</f>
        <v>0</v>
      </c>
      <c r="L28" s="138">
        <f>L27/(POWER((1+$H$11),10))</f>
        <v>0</v>
      </c>
      <c r="M28" s="142">
        <f>SUM(B28:L28)</f>
        <v>0</v>
      </c>
      <c r="N28" s="113"/>
    </row>
    <row r="29" spans="1:14" ht="15.5" x14ac:dyDescent="0.35">
      <c r="A29" s="134" t="s">
        <v>40</v>
      </c>
      <c r="B29" s="144">
        <f>IFERROR(B27/B18,0)</f>
        <v>0</v>
      </c>
      <c r="C29" s="119">
        <f t="shared" ref="C29:L29" si="4">IFERROR(C27/C18,0)</f>
        <v>0</v>
      </c>
      <c r="D29" s="119">
        <f>IFERROR(D27/D18,0)</f>
        <v>0</v>
      </c>
      <c r="E29" s="119">
        <f t="shared" si="4"/>
        <v>0</v>
      </c>
      <c r="F29" s="119">
        <f t="shared" si="4"/>
        <v>0</v>
      </c>
      <c r="G29" s="119">
        <f t="shared" si="4"/>
        <v>0</v>
      </c>
      <c r="H29" s="119">
        <f t="shared" si="4"/>
        <v>0</v>
      </c>
      <c r="I29" s="119">
        <f t="shared" si="4"/>
        <v>0</v>
      </c>
      <c r="J29" s="119">
        <f t="shared" si="4"/>
        <v>0</v>
      </c>
      <c r="K29" s="119">
        <f t="shared" si="4"/>
        <v>0</v>
      </c>
      <c r="L29" s="145">
        <f t="shared" si="4"/>
        <v>0</v>
      </c>
      <c r="M29" s="139"/>
      <c r="N29" s="113"/>
    </row>
    <row r="30" spans="1:14" ht="15.5" hidden="1" outlineLevel="1" x14ac:dyDescent="0.35">
      <c r="A30" s="146" t="s">
        <v>41</v>
      </c>
      <c r="B30" s="147">
        <f>$H$14*SUM('Revenue details'!E196:H196)/1000</f>
        <v>0</v>
      </c>
      <c r="C30" s="148">
        <f>$H$14*SUM('Revenue details'!I196:L196)/1000</f>
        <v>0</v>
      </c>
      <c r="D30" s="148">
        <f>$H$14*SUM('Revenue details'!M196:P196)/1000</f>
        <v>0</v>
      </c>
      <c r="E30" s="148">
        <f>$H$14*SUM('Revenue details'!Q196:T196)/1000</f>
        <v>0</v>
      </c>
      <c r="F30" s="148">
        <f>$H$14*SUM('Revenue details'!U196:X196)/1000</f>
        <v>0</v>
      </c>
      <c r="G30" s="148">
        <f>$H$14*SUM('Revenue details'!Y196:AB196)/1000</f>
        <v>0</v>
      </c>
      <c r="H30" s="148">
        <f>$H$14*SUM('Revenue details'!AC196:AF196)/1000</f>
        <v>0</v>
      </c>
      <c r="I30" s="148">
        <f>$H$14*SUM('Revenue details'!AG196:AJ196)/1000</f>
        <v>0</v>
      </c>
      <c r="J30" s="148">
        <f>$H$14*SUM('Revenue details'!AK196:AN196)/1000</f>
        <v>0</v>
      </c>
      <c r="K30" s="148">
        <f>$H$14*SUM('Revenue details'!AO196:AR196)/1000</f>
        <v>0</v>
      </c>
      <c r="L30" s="149">
        <f>$H$14*SUM('Revenue details'!AS196:AV196)/1000</f>
        <v>0</v>
      </c>
      <c r="M30" s="139"/>
      <c r="N30" s="113"/>
    </row>
    <row r="31" spans="1:14" ht="15.5" hidden="1" outlineLevel="1" x14ac:dyDescent="0.35">
      <c r="A31" s="134" t="s">
        <v>42</v>
      </c>
      <c r="B31" s="147">
        <f>$H$14*SUM('Revenue details'!E197:H197)/1000</f>
        <v>0</v>
      </c>
      <c r="C31" s="148">
        <f>$H$14*SUM('Revenue details'!I197:L197)/1000</f>
        <v>0</v>
      </c>
      <c r="D31" s="148">
        <f>$H$14*SUM('Revenue details'!M197:P197)/1000</f>
        <v>0</v>
      </c>
      <c r="E31" s="148">
        <f>$H$14*SUM('Revenue details'!Q197:T197)/1000</f>
        <v>0</v>
      </c>
      <c r="F31" s="148">
        <f>$H$14*SUM('Revenue details'!U197:X197)/1000</f>
        <v>0</v>
      </c>
      <c r="G31" s="148">
        <f>$H$14*SUM('Revenue details'!Y197:AB197)/1000</f>
        <v>0</v>
      </c>
      <c r="H31" s="148">
        <f>$H$14*SUM('Revenue details'!AC197:AF197)/1000</f>
        <v>0</v>
      </c>
      <c r="I31" s="148">
        <f>$H$14*SUM('Revenue details'!AG197:AJ197)/1000</f>
        <v>0</v>
      </c>
      <c r="J31" s="148">
        <f>$H$14*SUM('Revenue details'!AK197:AN197)/1000</f>
        <v>0</v>
      </c>
      <c r="K31" s="148">
        <f>$H$14*SUM('Revenue details'!AO197:AR197)/1000</f>
        <v>0</v>
      </c>
      <c r="L31" s="149">
        <f>$H$14*SUM('Revenue details'!AS197:AV197)/1000</f>
        <v>0</v>
      </c>
      <c r="M31" s="139"/>
      <c r="N31" s="113"/>
    </row>
    <row r="32" spans="1:14" ht="15.5" hidden="1" outlineLevel="1" x14ac:dyDescent="0.35">
      <c r="A32" s="134" t="s">
        <v>43</v>
      </c>
      <c r="B32" s="147">
        <f>$H$14*SUM('Revenue details'!E198:H198)/1000</f>
        <v>0</v>
      </c>
      <c r="C32" s="148">
        <f>$H$14*SUM('Revenue details'!I198:L198)/1000</f>
        <v>0</v>
      </c>
      <c r="D32" s="148">
        <f>$H$14*SUM('Revenue details'!M198:P198)/1000</f>
        <v>0</v>
      </c>
      <c r="E32" s="148">
        <f>$H$14*SUM('Revenue details'!Q198:T198)/1000</f>
        <v>0</v>
      </c>
      <c r="F32" s="148">
        <f>$H$14*SUM('Revenue details'!U198:X198)/1000</f>
        <v>0</v>
      </c>
      <c r="G32" s="148">
        <f>$H$14*SUM('Revenue details'!Y198:AB198)/1000</f>
        <v>0</v>
      </c>
      <c r="H32" s="148">
        <f>$H$14*SUM('Revenue details'!AC198:AF198)/1000</f>
        <v>0</v>
      </c>
      <c r="I32" s="148">
        <f>$H$14*SUM('Revenue details'!AG198:AJ198)/1000</f>
        <v>0</v>
      </c>
      <c r="J32" s="148">
        <f>$H$14*SUM('Revenue details'!AK198:AN198)/1000</f>
        <v>0</v>
      </c>
      <c r="K32" s="148">
        <f>$H$14*SUM('Revenue details'!AO198:AR198)/1000</f>
        <v>0</v>
      </c>
      <c r="L32" s="149">
        <f>$H$14*SUM('Revenue details'!AS198:AV198)/1000</f>
        <v>0</v>
      </c>
      <c r="M32" s="139"/>
      <c r="N32" s="113"/>
    </row>
    <row r="33" spans="1:14" ht="15.5" hidden="1" outlineLevel="1" x14ac:dyDescent="0.35">
      <c r="A33" s="134" t="s">
        <v>44</v>
      </c>
      <c r="B33" s="147">
        <f>$H$14*SUM('Revenue details'!E199:H199)/1000</f>
        <v>0</v>
      </c>
      <c r="C33" s="148">
        <f>$H$14*SUM('Revenue details'!I199:L199)/1000</f>
        <v>0</v>
      </c>
      <c r="D33" s="148">
        <f>$H$14*SUM('Revenue details'!M199:P199)/1000</f>
        <v>0</v>
      </c>
      <c r="E33" s="148">
        <f>$H$14*SUM('Revenue details'!Q199:T199)/1000</f>
        <v>0</v>
      </c>
      <c r="F33" s="148">
        <f>$H$14*SUM('Revenue details'!U199:X199)/1000</f>
        <v>0</v>
      </c>
      <c r="G33" s="148">
        <f>$H$14*SUM('Revenue details'!Y199:AB199)/1000</f>
        <v>0</v>
      </c>
      <c r="H33" s="148">
        <f>$H$14*SUM('Revenue details'!AC199:AF199)/1000</f>
        <v>0</v>
      </c>
      <c r="I33" s="148">
        <f>$H$14*SUM('Revenue details'!AG199:AJ199)/1000</f>
        <v>0</v>
      </c>
      <c r="J33" s="148">
        <f>$H$14*SUM('Revenue details'!AK199:AN199)/1000</f>
        <v>0</v>
      </c>
      <c r="K33" s="148">
        <f>$H$14*SUM('Revenue details'!AO199:AR199)/1000</f>
        <v>0</v>
      </c>
      <c r="L33" s="149">
        <f>$H$14*SUM('Revenue details'!AS199:AV199)/1000</f>
        <v>0</v>
      </c>
      <c r="M33" s="139"/>
      <c r="N33" s="113"/>
    </row>
    <row r="34" spans="1:14" ht="15.5" collapsed="1" x14ac:dyDescent="0.35">
      <c r="A34" s="134" t="s">
        <v>45</v>
      </c>
      <c r="B34" s="150">
        <f t="shared" ref="B34:L34" si="5">SUM(B30:B33)</f>
        <v>0</v>
      </c>
      <c r="C34" s="148">
        <f t="shared" si="5"/>
        <v>0</v>
      </c>
      <c r="D34" s="148">
        <f t="shared" si="5"/>
        <v>0</v>
      </c>
      <c r="E34" s="148">
        <f t="shared" si="5"/>
        <v>0</v>
      </c>
      <c r="F34" s="148">
        <f t="shared" si="5"/>
        <v>0</v>
      </c>
      <c r="G34" s="148">
        <f t="shared" si="5"/>
        <v>0</v>
      </c>
      <c r="H34" s="148">
        <f t="shared" si="5"/>
        <v>0</v>
      </c>
      <c r="I34" s="148">
        <f t="shared" si="5"/>
        <v>0</v>
      </c>
      <c r="J34" s="148">
        <f t="shared" si="5"/>
        <v>0</v>
      </c>
      <c r="K34" s="148">
        <f t="shared" si="5"/>
        <v>0</v>
      </c>
      <c r="L34" s="151">
        <f t="shared" si="5"/>
        <v>0</v>
      </c>
      <c r="M34" s="152">
        <f>SUM(B34:L34)</f>
        <v>0</v>
      </c>
      <c r="N34" s="113"/>
    </row>
    <row r="35" spans="1:14" ht="16" thickBot="1" x14ac:dyDescent="0.4">
      <c r="A35" s="153" t="s">
        <v>46</v>
      </c>
      <c r="B35" s="154">
        <f>B34/(POWER((1+$H$11),0))</f>
        <v>0</v>
      </c>
      <c r="C35" s="155">
        <f>C34/(POWER((1+$H$11),1))</f>
        <v>0</v>
      </c>
      <c r="D35" s="155">
        <f>D34/(POWER((1+$H$11),2))</f>
        <v>0</v>
      </c>
      <c r="E35" s="155">
        <f>E34/(POWER((1+$H$11),3))</f>
        <v>0</v>
      </c>
      <c r="F35" s="155">
        <f>F34/(POWER((1+$H$11),4))</f>
        <v>0</v>
      </c>
      <c r="G35" s="155">
        <f>G34/(POWER((1+$H$11),5))</f>
        <v>0</v>
      </c>
      <c r="H35" s="155">
        <f>H34/(POWER((1+$H$11),6))</f>
        <v>0</v>
      </c>
      <c r="I35" s="155">
        <f>I34/(POWER((1+$H$11),7))</f>
        <v>0</v>
      </c>
      <c r="J35" s="155">
        <f>J34/(POWER((1+$H$11),8))</f>
        <v>0</v>
      </c>
      <c r="K35" s="155">
        <f>K34/(POWER((1+$H$11),9))</f>
        <v>0</v>
      </c>
      <c r="L35" s="156">
        <f>L34/(POWER((1+$H$11),10))</f>
        <v>0</v>
      </c>
      <c r="M35" s="157">
        <f>SUM(B35:L35)</f>
        <v>0</v>
      </c>
      <c r="N35" s="113"/>
    </row>
    <row r="36" spans="1:14" ht="15" thickBot="1" x14ac:dyDescent="0.4"/>
    <row r="37" spans="1:14" ht="16" thickBot="1" x14ac:dyDescent="0.4">
      <c r="A37" s="158" t="s">
        <v>47</v>
      </c>
      <c r="B37" s="159" t="str">
        <f>IFERROR(M23/(SUM('Revenue details'!E6:AV6)+SUM('Revenue details'!E17:AV17)+SUM('Revenue details'!E28:AV28)+SUM('Revenue details'!E39:AV39)+SUM('Revenue details'!E50:AV50)+SUM('Revenue details'!E61:AV61)+SUM('Revenue details'!E72:AV72)+SUM('Revenue details'!E83:AV83)+SUM('Revenue details'!E94:AV94)+SUM('Revenue details'!E105:AV105)+SUM('Revenue details'!E116:AV116)+SUM('Revenue details'!E127:AV127)+SUM('Revenue details'!E138:AV138)+SUM('Revenue details'!E149:AV149)+SUM('Revenue details'!E160:AV160)),"-")</f>
        <v>-</v>
      </c>
      <c r="C37" s="113"/>
      <c r="D37" s="160"/>
      <c r="E37" s="113"/>
      <c r="F37" s="113"/>
      <c r="G37" s="113"/>
      <c r="H37" s="113"/>
      <c r="I37" s="113"/>
      <c r="J37" s="113"/>
      <c r="K37" s="113"/>
      <c r="L37" s="113"/>
      <c r="M37" s="113"/>
    </row>
    <row r="38" spans="1:14" ht="16" hidden="1" outlineLevel="1" thickBot="1" x14ac:dyDescent="0.4">
      <c r="A38" s="128" t="s">
        <v>48</v>
      </c>
      <c r="B38" s="124">
        <f t="shared" ref="B38:L38" si="6">B17</f>
        <v>2022</v>
      </c>
      <c r="C38" s="125">
        <f t="shared" si="6"/>
        <v>2023</v>
      </c>
      <c r="D38" s="125">
        <f t="shared" si="6"/>
        <v>2024</v>
      </c>
      <c r="E38" s="125">
        <f t="shared" si="6"/>
        <v>2025</v>
      </c>
      <c r="F38" s="125">
        <f t="shared" si="6"/>
        <v>2026</v>
      </c>
      <c r="G38" s="125">
        <f t="shared" si="6"/>
        <v>2027</v>
      </c>
      <c r="H38" s="125">
        <f t="shared" si="6"/>
        <v>2028</v>
      </c>
      <c r="I38" s="125">
        <f t="shared" si="6"/>
        <v>2029</v>
      </c>
      <c r="J38" s="125">
        <f t="shared" si="6"/>
        <v>2030</v>
      </c>
      <c r="K38" s="126">
        <f t="shared" si="6"/>
        <v>2031</v>
      </c>
      <c r="L38" s="161">
        <f t="shared" si="6"/>
        <v>2032</v>
      </c>
      <c r="M38" s="113"/>
    </row>
    <row r="39" spans="1:14" ht="15.5" hidden="1" outlineLevel="1" x14ac:dyDescent="0.35">
      <c r="A39" s="162" t="s">
        <v>49</v>
      </c>
      <c r="B39" s="163">
        <f>B28-B35</f>
        <v>0</v>
      </c>
      <c r="C39" s="164">
        <f t="shared" ref="C39:L39" si="7">B39+C28-C35</f>
        <v>0</v>
      </c>
      <c r="D39" s="164">
        <f t="shared" si="7"/>
        <v>0</v>
      </c>
      <c r="E39" s="164">
        <f t="shared" si="7"/>
        <v>0</v>
      </c>
      <c r="F39" s="164">
        <f t="shared" si="7"/>
        <v>0</v>
      </c>
      <c r="G39" s="164">
        <f t="shared" si="7"/>
        <v>0</v>
      </c>
      <c r="H39" s="164">
        <f t="shared" si="7"/>
        <v>0</v>
      </c>
      <c r="I39" s="164">
        <f t="shared" si="7"/>
        <v>0</v>
      </c>
      <c r="J39" s="164">
        <f t="shared" si="7"/>
        <v>0</v>
      </c>
      <c r="K39" s="164">
        <f t="shared" si="7"/>
        <v>0</v>
      </c>
      <c r="L39" s="165">
        <f t="shared" si="7"/>
        <v>0</v>
      </c>
      <c r="M39" s="113"/>
    </row>
    <row r="40" spans="1:14" ht="15.5" hidden="1" outlineLevel="1" x14ac:dyDescent="0.35">
      <c r="A40" s="166" t="s">
        <v>50</v>
      </c>
      <c r="B40" s="167">
        <f>SUM(B18)</f>
        <v>0</v>
      </c>
      <c r="C40" s="168">
        <f>SUM(B18:C18)</f>
        <v>0</v>
      </c>
      <c r="D40" s="168">
        <f>SUM($B$18:D18)</f>
        <v>0</v>
      </c>
      <c r="E40" s="168">
        <f>SUM($B$18:E18)</f>
        <v>0</v>
      </c>
      <c r="F40" s="168">
        <f>SUM($B$18:F18)</f>
        <v>0</v>
      </c>
      <c r="G40" s="168">
        <f>SUM($B$18:G18)</f>
        <v>0</v>
      </c>
      <c r="H40" s="168">
        <f>SUM($B$18:H18)</f>
        <v>0</v>
      </c>
      <c r="I40" s="168">
        <f>SUM($B$18:I18)</f>
        <v>0</v>
      </c>
      <c r="J40" s="168">
        <f>SUM($B$18:J18)</f>
        <v>0</v>
      </c>
      <c r="K40" s="168">
        <f>SUM($B$18:K18)</f>
        <v>0</v>
      </c>
      <c r="L40" s="169">
        <f>SUM($B$18:L18)</f>
        <v>0</v>
      </c>
      <c r="M40" s="113"/>
    </row>
    <row r="41" spans="1:14" ht="16" hidden="1" outlineLevel="1" thickBot="1" x14ac:dyDescent="0.4">
      <c r="A41" s="170" t="s">
        <v>51</v>
      </c>
      <c r="B41" s="171">
        <f>IFERROR(IF(B28&lt;B35,0,B35/B28),0)</f>
        <v>0</v>
      </c>
      <c r="C41" s="172">
        <f>IFERROR(IF((B28+C28)&lt;(B35+C35),0,(IF(B28&gt;B35,0,1+(B35+C35)/(B28+C28)))),0)</f>
        <v>0</v>
      </c>
      <c r="D41" s="172">
        <f>IFERROR(IF((B28+C28+D28)&lt;(B35+C35+D35),0,(IF((B28+C28)&gt;(B35+C35),0,2+(B35+C35+D35)/(B28+C28+D28)))),0)</f>
        <v>0</v>
      </c>
      <c r="E41" s="172">
        <f>IFERROR(IF((B28+C28+D28+E28)&lt;(B35+C35+D35+E35),0,(IF((B28+C28+D28)&gt;(B35+C35+D35),0,3+(B35+C35+D35+E35)/(B28+C28+D28+E28)))),0)</f>
        <v>0</v>
      </c>
      <c r="F41" s="172">
        <f>IFERROR(IF((B28+C28+D28+E28+F28)&lt;(B35+C35+D35+E35+F35),0,(IF((B28+C28+D28+E28)&gt;(B35+C35+D35+E35),0,4+(B35+C35+D35+E35+F35)/(B28+C28+D28+E28+F28)))),0)</f>
        <v>0</v>
      </c>
      <c r="G41" s="172">
        <f>IFERROR(IF((B28+C28+D28+E28+F28+G28)&lt;(B35+C35+D35+E35+F35+G35),0,(IF((B28+C28+D28+E28+F28)&gt;(B35+C35+D35+E35+F35),0,5+(B35+C35+D35+E35+F35+G35)/(B28+C28+D28+E28+F28+G28)))),0)</f>
        <v>0</v>
      </c>
      <c r="H41" s="172">
        <f>IFERROR(IF((B28+C28+D28+E28+F28+G28+H28)&lt;(B35+C35+D35+E35+F35+G35+H35),0,(IF((B28+C28+D28+E28+F28+G28)&gt;(B35+C35+D35+E35+F35+G35),0,6+(B35+C35+D35+E35+F35+G35+H35)/(B28+C28+D28+E28+F28+G28+H28)))),0)</f>
        <v>0</v>
      </c>
      <c r="I41" s="172">
        <f>IFERROR(IF((B28+C28+D28+E28+F28+G28+H28+I28)&lt;(B35+C35+D35+E35+F35+G35+H35+I35),0,(IF((B28+C28+D28+E28+F28+G28+H28)&gt;(B35+C35+D35+E35+F35+G35+H35),0,7+(B35+C35+D35+E35+F35+G35+H35+I35)/(B28+C28+D28+E28+F28+G28+H28+I28)))),0)</f>
        <v>0</v>
      </c>
      <c r="J41" s="172">
        <f>IFERROR(IF((B28+C28+D28+E28+F28+G28+H28+I28+J28)&lt;(B35+C35+D35+E35+F35+G35+H35+I35+J35),0,(IF((B28+C28+D28+E28+F28+G28+H28+I28)&gt;(B35+C35+D35+E35+F35+G35+H35+I35),0,8+(B35+C35+D35+E35+F35+G35+H35+I35+J35)/(B28+C28+D28+E28+F28+G28+H28+I28+J28)))),0)</f>
        <v>0</v>
      </c>
      <c r="K41" s="172">
        <f>IFERROR(IF((B28+C28+D28+E28+F28+G28+H28+I28+J28+K28)&lt;(B35+C35+D35+E35+F35+G35+H35+I35+J35+K35),0,(IF((B28+C28+D28+E28+F28+G28+H28+I28+J28)&gt;(B35+C35+D35+E35+F35+G35+H35+I35+J35),0,9+(B35+C35+D35+E35+F35+G35+H35+I35+J35+K35)/(B28+C28+D28+E28+F28+G28+H28+I28+J28+K28)))),0)</f>
        <v>0</v>
      </c>
      <c r="L41" s="173">
        <f>IFERROR(IF((B28+C28+D28+E28+F28+G28+H28+I28+J28+K28+L28)&lt;(B35+C35+D35+E35+F35+G35+H35+I35+J35+K35+L35),0,(IF((B28+C28+D28+E28+F28+G28+H28+I28+J28+K28)&gt;(B35+C35+D35+E35+F35+G35+H35+I35+J35+K35),0,10+(B35+C35+D35+E35+F35+G35+H35+I35+J35+K35+L35)/(B28+C28+D28+E28+F28+G28+H28+I28+J28+K28+L28)))),0)</f>
        <v>0</v>
      </c>
      <c r="M41" s="113"/>
    </row>
    <row r="42" spans="1:14" ht="15.5" collapsed="1" x14ac:dyDescent="0.35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</row>
    <row r="43" spans="1:14" ht="16" thickBot="1" x14ac:dyDescent="0.4">
      <c r="A43" s="174"/>
      <c r="B43" s="174"/>
      <c r="C43" s="175" t="s">
        <v>52</v>
      </c>
      <c r="D43" s="176"/>
      <c r="E43" s="175"/>
      <c r="F43" s="113"/>
      <c r="G43" s="113"/>
      <c r="H43" s="113"/>
      <c r="I43" s="113"/>
      <c r="J43" s="113"/>
      <c r="K43" s="113"/>
      <c r="L43" s="113"/>
      <c r="M43" s="113"/>
    </row>
    <row r="44" spans="1:14" ht="15.5" x14ac:dyDescent="0.35">
      <c r="A44" s="177" t="s">
        <v>54</v>
      </c>
      <c r="B44" s="178">
        <f>IFERROR( SUM(B28:L28)-SUM(B35:L35),"-")</f>
        <v>0</v>
      </c>
      <c r="C44" s="179" t="s">
        <v>55</v>
      </c>
      <c r="D44" s="180" t="s">
        <v>56</v>
      </c>
      <c r="E44" s="174"/>
      <c r="F44" s="113"/>
      <c r="G44" s="113"/>
      <c r="H44" s="113"/>
      <c r="I44" s="113"/>
      <c r="J44" s="113"/>
      <c r="K44" s="113"/>
      <c r="L44" s="113"/>
      <c r="M44" s="113"/>
    </row>
    <row r="45" spans="1:14" ht="15.5" x14ac:dyDescent="0.35">
      <c r="A45" s="181" t="s">
        <v>40</v>
      </c>
      <c r="B45" s="182" t="str">
        <f>IFERROR(SUM(B27:L27)/SUM(B18:L18),"-")</f>
        <v>-</v>
      </c>
      <c r="C45" s="183" t="s">
        <v>55</v>
      </c>
      <c r="D45" s="184">
        <f>IF(OR(B8="Networking",B8="Protocols"),65%,IF(H15="Standard",45%,38%))</f>
        <v>0.45</v>
      </c>
      <c r="E45" s="174"/>
      <c r="F45" s="113"/>
      <c r="G45" s="113"/>
      <c r="H45" s="113"/>
      <c r="I45" s="113"/>
      <c r="J45" s="113"/>
      <c r="K45" s="113"/>
      <c r="L45" s="113"/>
      <c r="M45" s="113"/>
    </row>
    <row r="46" spans="1:14" ht="15.5" x14ac:dyDescent="0.35">
      <c r="A46" s="181" t="s">
        <v>57</v>
      </c>
      <c r="B46" s="185" t="str">
        <f>IFERROR(IF(SUM(B35:L35)=0,"-",B44/SUM(B35:L35)),"-")</f>
        <v>-</v>
      </c>
      <c r="C46" s="186" t="s">
        <v>55</v>
      </c>
      <c r="D46" s="187">
        <v>10</v>
      </c>
      <c r="E46" s="174"/>
      <c r="F46" s="113"/>
      <c r="G46" s="113"/>
      <c r="H46" s="113"/>
      <c r="I46" s="113"/>
      <c r="J46" s="113"/>
      <c r="K46" s="113"/>
      <c r="L46" s="113"/>
      <c r="M46" s="113"/>
    </row>
    <row r="47" spans="1:14" ht="15.5" x14ac:dyDescent="0.35">
      <c r="A47" s="181" t="s">
        <v>58</v>
      </c>
      <c r="B47" s="185">
        <f>IFERROR(SUM(B41:L41),"-")</f>
        <v>0</v>
      </c>
      <c r="C47" s="188" t="s">
        <v>59</v>
      </c>
      <c r="D47" s="189">
        <v>3</v>
      </c>
      <c r="E47" s="174"/>
      <c r="F47" s="113"/>
      <c r="G47" s="113"/>
      <c r="H47" s="113"/>
      <c r="I47" s="113"/>
      <c r="J47" s="113"/>
      <c r="K47" s="113"/>
      <c r="L47" s="113"/>
      <c r="M47" s="113"/>
    </row>
    <row r="48" spans="1:14" ht="16" thickBot="1" x14ac:dyDescent="0.4">
      <c r="A48" s="190" t="s">
        <v>60</v>
      </c>
      <c r="B48" s="191" t="str">
        <f>IFERROR(IRR(B39:L39),"-")</f>
        <v>-</v>
      </c>
      <c r="C48" s="192"/>
      <c r="D48" s="193"/>
      <c r="E48" s="174"/>
      <c r="F48" s="113"/>
      <c r="G48" s="113"/>
      <c r="H48" s="113"/>
      <c r="I48" s="113"/>
      <c r="J48" s="113"/>
      <c r="K48" s="113"/>
      <c r="L48" s="113"/>
      <c r="M48" s="113"/>
    </row>
    <row r="49" spans="1:13" ht="15.5" x14ac:dyDescent="0.35">
      <c r="A49" s="174"/>
      <c r="B49" s="174"/>
      <c r="C49" s="174"/>
      <c r="D49" s="174"/>
      <c r="E49" s="174"/>
      <c r="F49" s="113"/>
      <c r="G49" s="113"/>
      <c r="H49" s="113"/>
      <c r="I49" s="113"/>
      <c r="J49" s="113"/>
      <c r="K49" s="113"/>
      <c r="L49" s="113"/>
      <c r="M49" s="113"/>
    </row>
    <row r="50" spans="1:13" ht="15.5" x14ac:dyDescent="0.3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</row>
    <row r="51" spans="1:13" ht="15.5" x14ac:dyDescent="0.3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1:13" ht="16" thickBot="1" x14ac:dyDescent="0.4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</row>
    <row r="53" spans="1:13" ht="15.5" x14ac:dyDescent="0.35">
      <c r="A53" s="194" t="s">
        <v>61</v>
      </c>
      <c r="B53" s="246" t="s">
        <v>62</v>
      </c>
      <c r="C53" s="246"/>
      <c r="D53" s="246"/>
      <c r="E53" s="195" t="s">
        <v>63</v>
      </c>
      <c r="F53" s="113"/>
      <c r="G53" s="113"/>
      <c r="H53" s="113"/>
      <c r="I53" s="113"/>
      <c r="J53" s="113"/>
      <c r="K53" s="113"/>
      <c r="L53" s="113"/>
      <c r="M53" s="113"/>
    </row>
    <row r="54" spans="1:13" ht="15.5" x14ac:dyDescent="0.35">
      <c r="A54" s="218" t="str">
        <f>IF('BC Summary US$'!A54=0,"",'BC Summary US$'!A54)</f>
        <v/>
      </c>
      <c r="B54" s="304" t="str">
        <f>IF('BC Summary US$'!B54=0,"",'BC Summary US$'!B54)</f>
        <v/>
      </c>
      <c r="C54" s="305"/>
      <c r="D54" s="306"/>
      <c r="E54" s="214" t="str">
        <f>IF('BC Summary US$'!E54=0,"",'BC Summary US$'!E54)</f>
        <v/>
      </c>
      <c r="F54" s="113"/>
      <c r="G54" s="113"/>
      <c r="H54" s="113"/>
      <c r="I54" s="113"/>
      <c r="J54" s="113"/>
      <c r="K54" s="113"/>
      <c r="L54" s="113"/>
      <c r="M54" s="113"/>
    </row>
    <row r="55" spans="1:13" ht="15.5" x14ac:dyDescent="0.35">
      <c r="A55" s="218" t="str">
        <f>IF('BC Summary US$'!A55=0,"",'BC Summary US$'!A55)</f>
        <v/>
      </c>
      <c r="B55" s="304" t="str">
        <f>IF('BC Summary US$'!B55=0,"",'BC Summary US$'!B55)</f>
        <v/>
      </c>
      <c r="C55" s="305"/>
      <c r="D55" s="306"/>
      <c r="E55" s="214" t="str">
        <f>IF('BC Summary US$'!E55=0,"",'BC Summary US$'!E55)</f>
        <v/>
      </c>
      <c r="F55" s="113"/>
      <c r="G55" s="113"/>
      <c r="H55" s="113"/>
      <c r="I55" s="113"/>
      <c r="J55" s="113"/>
      <c r="K55" s="113"/>
      <c r="L55" s="113"/>
      <c r="M55" s="113"/>
    </row>
    <row r="56" spans="1:13" ht="15.5" x14ac:dyDescent="0.35">
      <c r="A56" s="218" t="str">
        <f>IF('BC Summary US$'!A56=0,"",'BC Summary US$'!A56)</f>
        <v/>
      </c>
      <c r="B56" s="304" t="str">
        <f>IF('BC Summary US$'!B56=0,"",'BC Summary US$'!B56)</f>
        <v/>
      </c>
      <c r="C56" s="305"/>
      <c r="D56" s="306"/>
      <c r="E56" s="214" t="str">
        <f>IF('BC Summary US$'!E56=0,"",'BC Summary US$'!E56)</f>
        <v/>
      </c>
      <c r="F56" s="113"/>
      <c r="G56" s="113"/>
      <c r="H56" s="113"/>
      <c r="I56" s="113"/>
      <c r="J56" s="113"/>
      <c r="K56" s="113"/>
      <c r="L56" s="113"/>
      <c r="M56" s="113"/>
    </row>
    <row r="57" spans="1:13" ht="15.5" x14ac:dyDescent="0.35">
      <c r="A57" s="218" t="str">
        <f>IF('BC Summary US$'!A57=0,"",'BC Summary US$'!A57)</f>
        <v/>
      </c>
      <c r="B57" s="304" t="str">
        <f>IF('BC Summary US$'!B57=0,"",'BC Summary US$'!B57)</f>
        <v/>
      </c>
      <c r="C57" s="305"/>
      <c r="D57" s="306"/>
      <c r="E57" s="214" t="str">
        <f>IF('BC Summary US$'!E57=0,"",'BC Summary US$'!E57)</f>
        <v/>
      </c>
      <c r="F57" s="113"/>
      <c r="G57" s="113"/>
      <c r="H57" s="113"/>
      <c r="I57" s="113"/>
      <c r="J57" s="113"/>
      <c r="K57" s="113"/>
      <c r="L57" s="113"/>
      <c r="M57" s="113"/>
    </row>
    <row r="58" spans="1:13" ht="16" thickBot="1" x14ac:dyDescent="0.4">
      <c r="A58" s="219" t="str">
        <f>IF('BC Summary US$'!A58=0,"",'BC Summary US$'!A58)</f>
        <v/>
      </c>
      <c r="B58" s="300" t="str">
        <f>IF('BC Summary US$'!B58=0,"",'BC Summary US$'!B58)</f>
        <v/>
      </c>
      <c r="C58" s="301"/>
      <c r="D58" s="302"/>
      <c r="E58" s="215" t="str">
        <f>IF('BC Summary US$'!E58=0,"",'BC Summary US$'!E58)</f>
        <v/>
      </c>
      <c r="F58" s="113"/>
      <c r="G58" s="113"/>
      <c r="H58" s="113"/>
      <c r="I58" s="113"/>
      <c r="J58" s="113"/>
      <c r="K58" s="113"/>
      <c r="L58" s="113"/>
      <c r="M58" s="113"/>
    </row>
  </sheetData>
  <protectedRanges>
    <protectedRange sqref="K12:K14" name="Bereich8_1"/>
    <protectedRange sqref="H15" name="Bereich7_1"/>
    <protectedRange sqref="E15" name="Bereich6_1"/>
    <protectedRange sqref="E11:E13" name="Bereich5_1"/>
    <protectedRange sqref="B11:B15" name="Bereich4_1"/>
    <protectedRange sqref="B8" name="Bereich3_1"/>
    <protectedRange sqref="I3" name="Bereich2_1"/>
    <protectedRange sqref="E2" name="Bereich1_1"/>
    <protectedRange sqref="A54:E58" name="Bereich9_2"/>
  </protectedRanges>
  <dataConsolidate/>
  <mergeCells count="13">
    <mergeCell ref="B8:C8"/>
    <mergeCell ref="E2:G3"/>
    <mergeCell ref="I2:M2"/>
    <mergeCell ref="I3:M7"/>
    <mergeCell ref="A6:B6"/>
    <mergeCell ref="E6:G7"/>
    <mergeCell ref="B58:D58"/>
    <mergeCell ref="B9:C9"/>
    <mergeCell ref="B53:D53"/>
    <mergeCell ref="B54:D54"/>
    <mergeCell ref="B55:D55"/>
    <mergeCell ref="B56:D56"/>
    <mergeCell ref="B57:D57"/>
  </mergeCells>
  <dataValidations count="1">
    <dataValidation showDropDown="1" showInputMessage="1" showErrorMessage="1" sqref="B8:C8" xr:uid="{05B8B020-7246-4FB8-B5BE-9CC6D3E6B521}"/>
  </dataValidations>
  <pageMargins left="0.7" right="0.7" top="0.75" bottom="0.75" header="0.3" footer="0.3"/>
  <pageSetup paperSize="9" scale="53" orientation="landscape" r:id="rId1"/>
  <ignoredErrors>
    <ignoredError sqref="C32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BC2F-8070-41BE-9B70-55D72E4C922E}">
  <sheetPr codeName="Tabelle2">
    <tabColor theme="4" tint="0.59999389629810485"/>
    <pageSetUpPr fitToPage="1"/>
  </sheetPr>
  <dimension ref="A1:N58"/>
  <sheetViews>
    <sheetView showGridLines="0" zoomScale="80" zoomScaleNormal="80" workbookViewId="0">
      <selection activeCell="F57" sqref="F57"/>
    </sheetView>
  </sheetViews>
  <sheetFormatPr defaultColWidth="10.81640625" defaultRowHeight="14.5" outlineLevelRow="1" x14ac:dyDescent="0.35"/>
  <cols>
    <col min="1" max="1" width="35" bestFit="1" customWidth="1"/>
    <col min="2" max="12" width="16.54296875" customWidth="1"/>
    <col min="13" max="13" width="16.54296875" bestFit="1" customWidth="1"/>
    <col min="14" max="14" width="14.1796875" bestFit="1" customWidth="1"/>
    <col min="15" max="15" width="11.81640625" bestFit="1" customWidth="1"/>
  </cols>
  <sheetData>
    <row r="1" spans="1:14" ht="15" thickBot="1" x14ac:dyDescent="0.4"/>
    <row r="2" spans="1:14" ht="15.75" customHeight="1" x14ac:dyDescent="0.35">
      <c r="C2" s="5" t="s">
        <v>0</v>
      </c>
      <c r="E2" s="307">
        <f>'BC Summary US$'!E2</f>
        <v>0</v>
      </c>
      <c r="F2" s="239"/>
      <c r="G2" s="240"/>
      <c r="I2" s="226" t="s">
        <v>1</v>
      </c>
      <c r="J2" s="227"/>
      <c r="K2" s="227"/>
      <c r="L2" s="227"/>
      <c r="M2" s="228"/>
    </row>
    <row r="3" spans="1:14" ht="15" customHeight="1" x14ac:dyDescent="0.35">
      <c r="C3" s="1" t="s">
        <v>2</v>
      </c>
      <c r="E3" s="241"/>
      <c r="F3" s="242"/>
      <c r="G3" s="243"/>
      <c r="I3" s="308">
        <f>'BC Summary US$'!I3</f>
        <v>0</v>
      </c>
      <c r="J3" s="309"/>
      <c r="K3" s="309"/>
      <c r="L3" s="309"/>
      <c r="M3" s="310"/>
    </row>
    <row r="4" spans="1:14" ht="15" customHeight="1" x14ac:dyDescent="0.35">
      <c r="I4" s="308"/>
      <c r="J4" s="309"/>
      <c r="K4" s="309"/>
      <c r="L4" s="309"/>
      <c r="M4" s="310"/>
    </row>
    <row r="5" spans="1:14" ht="15" customHeight="1" x14ac:dyDescent="0.35">
      <c r="I5" s="308"/>
      <c r="J5" s="309"/>
      <c r="K5" s="309"/>
      <c r="L5" s="309"/>
      <c r="M5" s="310"/>
    </row>
    <row r="6" spans="1:14" ht="15.75" customHeight="1" x14ac:dyDescent="0.35">
      <c r="A6" s="237" t="s">
        <v>204</v>
      </c>
      <c r="B6" s="237"/>
      <c r="E6" s="244" t="s">
        <v>205</v>
      </c>
      <c r="F6" s="245"/>
      <c r="G6" s="245"/>
      <c r="I6" s="308"/>
      <c r="J6" s="309"/>
      <c r="K6" s="309"/>
      <c r="L6" s="309"/>
      <c r="M6" s="310"/>
    </row>
    <row r="7" spans="1:14" ht="15.75" customHeight="1" thickBot="1" x14ac:dyDescent="0.4">
      <c r="E7" s="245"/>
      <c r="F7" s="245"/>
      <c r="G7" s="245"/>
      <c r="I7" s="311"/>
      <c r="J7" s="312"/>
      <c r="K7" s="312"/>
      <c r="L7" s="312"/>
      <c r="M7" s="313"/>
    </row>
    <row r="8" spans="1:14" ht="15.5" x14ac:dyDescent="0.35">
      <c r="A8" s="112" t="s">
        <v>5</v>
      </c>
      <c r="B8" s="303">
        <f>'BC Summary US$'!B8</f>
        <v>0</v>
      </c>
      <c r="C8" s="30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ht="15.5" x14ac:dyDescent="0.35">
      <c r="A9" s="112" t="s">
        <v>6</v>
      </c>
      <c r="B9" s="303">
        <f>'BC Summary US$'!B9</f>
        <v>0</v>
      </c>
      <c r="C9" s="30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ht="15.5" x14ac:dyDescent="0.3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ht="15.5" x14ac:dyDescent="0.35">
      <c r="A11" s="112" t="s">
        <v>7</v>
      </c>
      <c r="B11" s="211">
        <f>'BC Summary US$'!B11</f>
        <v>0</v>
      </c>
      <c r="C11" s="113"/>
      <c r="D11" s="112" t="s">
        <v>8</v>
      </c>
      <c r="E11" s="212">
        <f>'BC Summary US$'!E11</f>
        <v>44562</v>
      </c>
      <c r="F11" s="113"/>
      <c r="G11" s="112" t="s">
        <v>9</v>
      </c>
      <c r="H11" s="116">
        <v>8.4000000000000005E-2</v>
      </c>
      <c r="I11" s="113"/>
      <c r="J11" s="117" t="s">
        <v>10</v>
      </c>
      <c r="K11" s="113"/>
      <c r="L11" s="113"/>
      <c r="M11" s="113"/>
      <c r="N11" s="113"/>
    </row>
    <row r="12" spans="1:14" ht="15.5" x14ac:dyDescent="0.35">
      <c r="A12" s="112" t="s">
        <v>11</v>
      </c>
      <c r="B12" s="213">
        <f>'BC Summary US$'!B12</f>
        <v>0</v>
      </c>
      <c r="C12" s="113"/>
      <c r="D12" s="112" t="s">
        <v>12</v>
      </c>
      <c r="E12" s="212">
        <f>'BC Summary US$'!E12</f>
        <v>0</v>
      </c>
      <c r="F12" s="113"/>
      <c r="G12" s="112" t="s">
        <v>13</v>
      </c>
      <c r="H12" s="119">
        <f>'Expected value'!P22</f>
        <v>0.6</v>
      </c>
      <c r="I12" s="113"/>
      <c r="J12" s="120" t="s">
        <v>14</v>
      </c>
      <c r="K12" s="119">
        <f>'BC Summary US$'!K12</f>
        <v>0.2</v>
      </c>
      <c r="L12" s="113"/>
      <c r="M12" s="113"/>
      <c r="N12" s="113"/>
    </row>
    <row r="13" spans="1:14" ht="15.5" x14ac:dyDescent="0.35">
      <c r="A13" s="112" t="s">
        <v>15</v>
      </c>
      <c r="B13" s="211">
        <f>'BC Summary US$'!B13</f>
        <v>541</v>
      </c>
      <c r="C13" s="113"/>
      <c r="D13" s="112" t="s">
        <v>16</v>
      </c>
      <c r="E13" s="212">
        <f>'BC Summary US$'!E13</f>
        <v>0</v>
      </c>
      <c r="F13" s="113"/>
      <c r="G13" s="112" t="s">
        <v>17</v>
      </c>
      <c r="H13" s="216">
        <f>'BC Summary US$'!H13</f>
        <v>0.96260000000000001</v>
      </c>
      <c r="I13" s="113"/>
      <c r="J13" s="120" t="s">
        <v>18</v>
      </c>
      <c r="K13" s="119">
        <f>'BC Summary US$'!K13</f>
        <v>0.5</v>
      </c>
      <c r="L13" s="113"/>
      <c r="M13" s="113"/>
      <c r="N13" s="113"/>
    </row>
    <row r="14" spans="1:14" ht="15.5" x14ac:dyDescent="0.35">
      <c r="A14" s="112" t="s">
        <v>19</v>
      </c>
      <c r="B14" s="211">
        <f>'BC Summary US$'!B14</f>
        <v>0</v>
      </c>
      <c r="C14" s="113"/>
      <c r="D14" s="112" t="s">
        <v>20</v>
      </c>
      <c r="E14" s="122">
        <f>DATEDIF(E12,E13,"m")</f>
        <v>0</v>
      </c>
      <c r="F14" s="113"/>
      <c r="G14" s="112" t="s">
        <v>21</v>
      </c>
      <c r="H14" s="216">
        <f>IF('Revenue details'!C5="EUR", 1, 1/H13)</f>
        <v>1</v>
      </c>
      <c r="I14" s="113"/>
      <c r="J14" s="120" t="s">
        <v>22</v>
      </c>
      <c r="K14" s="119">
        <f>'BC Summary US$'!K14</f>
        <v>0.3</v>
      </c>
      <c r="L14" s="113"/>
      <c r="M14" s="113"/>
      <c r="N14" s="113"/>
    </row>
    <row r="15" spans="1:14" ht="15.5" x14ac:dyDescent="0.35">
      <c r="A15" s="112" t="s">
        <v>23</v>
      </c>
      <c r="B15" s="211">
        <f>'BC Summary US$'!B15</f>
        <v>0</v>
      </c>
      <c r="C15" s="113"/>
      <c r="D15" s="112" t="s">
        <v>24</v>
      </c>
      <c r="E15" s="212">
        <f>'BC Summary US$'!E15</f>
        <v>0</v>
      </c>
      <c r="F15" s="113"/>
      <c r="G15" s="112" t="s">
        <v>25</v>
      </c>
      <c r="H15" s="211" t="str">
        <f>'BC Summary US$'!H15</f>
        <v>Standard</v>
      </c>
      <c r="I15" s="113"/>
      <c r="J15" s="113"/>
      <c r="K15" s="113"/>
      <c r="L15" s="113"/>
      <c r="M15" s="113"/>
      <c r="N15" s="113"/>
    </row>
    <row r="16" spans="1:14" ht="16" thickBot="1" x14ac:dyDescent="0.4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1:14" ht="16" thickBot="1" x14ac:dyDescent="0.4">
      <c r="A17" s="123" t="s">
        <v>27</v>
      </c>
      <c r="B17" s="124">
        <f>YEAR(E11)</f>
        <v>2022</v>
      </c>
      <c r="C17" s="125">
        <f>B17+1</f>
        <v>2023</v>
      </c>
      <c r="D17" s="125">
        <f>C17+1</f>
        <v>2024</v>
      </c>
      <c r="E17" s="125">
        <f t="shared" ref="E17:L17" si="0">D17+1</f>
        <v>2025</v>
      </c>
      <c r="F17" s="125">
        <f t="shared" si="0"/>
        <v>2026</v>
      </c>
      <c r="G17" s="125">
        <f t="shared" si="0"/>
        <v>2027</v>
      </c>
      <c r="H17" s="125">
        <f t="shared" si="0"/>
        <v>2028</v>
      </c>
      <c r="I17" s="125">
        <f t="shared" si="0"/>
        <v>2029</v>
      </c>
      <c r="J17" s="125">
        <f t="shared" si="0"/>
        <v>2030</v>
      </c>
      <c r="K17" s="125">
        <f t="shared" si="0"/>
        <v>2031</v>
      </c>
      <c r="L17" s="126">
        <f t="shared" si="0"/>
        <v>2032</v>
      </c>
      <c r="M17" s="127" t="s">
        <v>28</v>
      </c>
      <c r="N17" s="113"/>
    </row>
    <row r="18" spans="1:14" ht="15.5" x14ac:dyDescent="0.35">
      <c r="A18" s="128" t="s">
        <v>29</v>
      </c>
      <c r="B18" s="129">
        <f>B19+B22+$H$14*SUM('Revenue details'!E190:H190)/1000</f>
        <v>0</v>
      </c>
      <c r="C18" s="130">
        <f>C19+C22+$H$14*SUM('Revenue details'!I190:L190)/1000</f>
        <v>0</v>
      </c>
      <c r="D18" s="130">
        <f>D19+D22+$H$14*SUM('Revenue details'!M190:P190)/1000</f>
        <v>0</v>
      </c>
      <c r="E18" s="130">
        <f>E19+E22+$H$14*SUM('Revenue details'!Q190:T190)/1000</f>
        <v>0</v>
      </c>
      <c r="F18" s="130">
        <f>F19+F22+$H$14*SUM('Revenue details'!U190:X190)/1000</f>
        <v>0</v>
      </c>
      <c r="G18" s="130">
        <f>G19+G22+$H$14*SUM('Revenue details'!Y190:AB190)/1000</f>
        <v>0</v>
      </c>
      <c r="H18" s="130">
        <f>H19+H22+$H$14*SUM('Revenue details'!AC190:AF190)/1000</f>
        <v>0</v>
      </c>
      <c r="I18" s="130">
        <f>I19+I22+$H$14*SUM('Revenue details'!AG190:AJ190)/1000</f>
        <v>0</v>
      </c>
      <c r="J18" s="130">
        <f>J19+J22+$H$14*SUM('Revenue details'!AK190:AN190)/1000</f>
        <v>0</v>
      </c>
      <c r="K18" s="131">
        <f>K19+K22+$H$14*SUM('Revenue details'!AO190:AR190)/1000</f>
        <v>0</v>
      </c>
      <c r="L18" s="132">
        <f>L19+L22+$H$14*SUM('Revenue details'!AS190:AV190)/1000</f>
        <v>0</v>
      </c>
      <c r="M18" s="133">
        <f>SUM(B18:L18)</f>
        <v>0</v>
      </c>
      <c r="N18" s="113"/>
    </row>
    <row r="19" spans="1:14" ht="15.5" x14ac:dyDescent="0.35">
      <c r="A19" s="134" t="s">
        <v>30</v>
      </c>
      <c r="B19" s="135">
        <f>SUM(B20:B21)</f>
        <v>0</v>
      </c>
      <c r="C19" s="136">
        <f t="shared" ref="C19:L19" si="1">SUM(C20:C21)</f>
        <v>0</v>
      </c>
      <c r="D19" s="136">
        <f t="shared" si="1"/>
        <v>0</v>
      </c>
      <c r="E19" s="136">
        <f t="shared" si="1"/>
        <v>0</v>
      </c>
      <c r="F19" s="136">
        <f t="shared" si="1"/>
        <v>0</v>
      </c>
      <c r="G19" s="136">
        <f t="shared" si="1"/>
        <v>0</v>
      </c>
      <c r="H19" s="136">
        <f t="shared" si="1"/>
        <v>0</v>
      </c>
      <c r="I19" s="136">
        <f t="shared" si="1"/>
        <v>0</v>
      </c>
      <c r="J19" s="136">
        <f t="shared" si="1"/>
        <v>0</v>
      </c>
      <c r="K19" s="137">
        <f t="shared" si="1"/>
        <v>0</v>
      </c>
      <c r="L19" s="138">
        <f t="shared" si="1"/>
        <v>0</v>
      </c>
      <c r="M19" s="139"/>
      <c r="N19" s="113"/>
    </row>
    <row r="20" spans="1:14" ht="15.5" hidden="1" outlineLevel="1" x14ac:dyDescent="0.35">
      <c r="A20" s="134" t="s">
        <v>31</v>
      </c>
      <c r="B20" s="140">
        <f>$H$14*SUM('Revenue details'!E185:H185)/1000</f>
        <v>0</v>
      </c>
      <c r="C20" s="137">
        <f>$H$14*SUM('Revenue details'!I185:L185)/1000</f>
        <v>0</v>
      </c>
      <c r="D20" s="137">
        <f>$H$14*SUM('Revenue details'!M185:P185)/1000</f>
        <v>0</v>
      </c>
      <c r="E20" s="137">
        <f>$H$14*SUM('Revenue details'!Q185:T185)/1000</f>
        <v>0</v>
      </c>
      <c r="F20" s="137">
        <f>$H$14*SUM('Revenue details'!U185:X185)/1000</f>
        <v>0</v>
      </c>
      <c r="G20" s="137">
        <f>$H$14*SUM('Revenue details'!Y185:AB185)/1000</f>
        <v>0</v>
      </c>
      <c r="H20" s="137">
        <f>$H$14*SUM('Revenue details'!AC185:AF185)/1000</f>
        <v>0</v>
      </c>
      <c r="I20" s="137">
        <f>$H$14*SUM('Revenue details'!AG185:AJ185)/1000</f>
        <v>0</v>
      </c>
      <c r="J20" s="137">
        <f>$H$14*SUM('Revenue details'!AK185:AN185)/1000</f>
        <v>0</v>
      </c>
      <c r="K20" s="137">
        <f>$H$14*SUM('Revenue details'!AO185:AR185)/1000</f>
        <v>0</v>
      </c>
      <c r="L20" s="141">
        <f>$H$14*SUM('Revenue details'!AS185:AV185)/1000</f>
        <v>0</v>
      </c>
      <c r="M20" s="139"/>
      <c r="N20" s="113"/>
    </row>
    <row r="21" spans="1:14" ht="15.5" hidden="1" outlineLevel="1" x14ac:dyDescent="0.35">
      <c r="A21" s="134" t="s">
        <v>32</v>
      </c>
      <c r="B21" s="140">
        <f>$H$14*SUM('Revenue details'!E186:H186)/1000</f>
        <v>0</v>
      </c>
      <c r="C21" s="137">
        <f>$H$14*SUM('Revenue details'!I186:L186)/1000</f>
        <v>0</v>
      </c>
      <c r="D21" s="137">
        <f>$H$14*SUM('Revenue details'!M186:P186)/1000</f>
        <v>0</v>
      </c>
      <c r="E21" s="137">
        <f>$H$14*SUM('Revenue details'!Q186:T186)/1000</f>
        <v>0</v>
      </c>
      <c r="F21" s="137">
        <f>$H$14*SUM('Revenue details'!U186:X186)/1000</f>
        <v>0</v>
      </c>
      <c r="G21" s="137">
        <f>$H$14*SUM('Revenue details'!Y186:AB186)/1000</f>
        <v>0</v>
      </c>
      <c r="H21" s="137">
        <f>$H$14*SUM('Revenue details'!AC186:AF186)/1000</f>
        <v>0</v>
      </c>
      <c r="I21" s="137">
        <f>$H$14*SUM('Revenue details'!AG186:AJ186)/1000</f>
        <v>0</v>
      </c>
      <c r="J21" s="137">
        <f>$H$14*SUM('Revenue details'!AK186:AN186)/1000</f>
        <v>0</v>
      </c>
      <c r="K21" s="137">
        <f>$H$14*SUM('Revenue details'!AO186:AR186)/1000</f>
        <v>0</v>
      </c>
      <c r="L21" s="141">
        <f>$H$14*SUM('Revenue details'!AS186:AV186)/1000</f>
        <v>0</v>
      </c>
      <c r="M21" s="139"/>
      <c r="N21" s="113"/>
    </row>
    <row r="22" spans="1:14" ht="15.5" collapsed="1" x14ac:dyDescent="0.35">
      <c r="A22" s="134" t="s">
        <v>33</v>
      </c>
      <c r="B22" s="135">
        <f>SUM(B23:B25)</f>
        <v>0</v>
      </c>
      <c r="C22" s="136">
        <f t="shared" ref="C22:L22" si="2">SUM(C23:C25)</f>
        <v>0</v>
      </c>
      <c r="D22" s="136">
        <f t="shared" si="2"/>
        <v>0</v>
      </c>
      <c r="E22" s="136">
        <f t="shared" si="2"/>
        <v>0</v>
      </c>
      <c r="F22" s="136">
        <f t="shared" si="2"/>
        <v>0</v>
      </c>
      <c r="G22" s="136">
        <f t="shared" si="2"/>
        <v>0</v>
      </c>
      <c r="H22" s="136">
        <f t="shared" si="2"/>
        <v>0</v>
      </c>
      <c r="I22" s="136">
        <f t="shared" si="2"/>
        <v>0</v>
      </c>
      <c r="J22" s="136">
        <f t="shared" si="2"/>
        <v>0</v>
      </c>
      <c r="K22" s="137">
        <f t="shared" si="2"/>
        <v>0</v>
      </c>
      <c r="L22" s="138">
        <f t="shared" si="2"/>
        <v>0</v>
      </c>
      <c r="M22" s="139"/>
      <c r="N22" s="113"/>
    </row>
    <row r="23" spans="1:14" ht="15.5" hidden="1" outlineLevel="1" x14ac:dyDescent="0.35">
      <c r="A23" s="134" t="s">
        <v>34</v>
      </c>
      <c r="B23" s="140">
        <f>$H$14*SUM('Revenue details'!E187:H187)/1000</f>
        <v>0</v>
      </c>
      <c r="C23" s="137">
        <f>$H$14*SUM('Revenue details'!I187:L187)/1000</f>
        <v>0</v>
      </c>
      <c r="D23" s="137">
        <f>$H$14*SUM('Revenue details'!M187:P187)/1000</f>
        <v>0</v>
      </c>
      <c r="E23" s="137">
        <f>$H$14*SUM('Revenue details'!Q187:T187)/1000</f>
        <v>0</v>
      </c>
      <c r="F23" s="137">
        <f>$H$14*SUM('Revenue details'!U187:X187)/1000</f>
        <v>0</v>
      </c>
      <c r="G23" s="137">
        <f>$H$14*SUM('Revenue details'!Y187:AB187)/1000</f>
        <v>0</v>
      </c>
      <c r="H23" s="137">
        <f>$H$14*SUM('Revenue details'!AC187:AF187)/1000</f>
        <v>0</v>
      </c>
      <c r="I23" s="137">
        <f>$H$14*SUM('Revenue details'!AG187:AJ187)/1000</f>
        <v>0</v>
      </c>
      <c r="J23" s="137">
        <f>$H$14*SUM('Revenue details'!AK187:AN187)/1000</f>
        <v>0</v>
      </c>
      <c r="K23" s="137">
        <f>$H$14*SUM('Revenue details'!AO187:AR187)/1000</f>
        <v>0</v>
      </c>
      <c r="L23" s="138">
        <f>$H$14*SUM('Revenue details'!AS187:AV187)/1000</f>
        <v>0</v>
      </c>
      <c r="M23" s="139"/>
      <c r="N23" s="113"/>
    </row>
    <row r="24" spans="1:14" ht="15.5" hidden="1" outlineLevel="1" x14ac:dyDescent="0.35">
      <c r="A24" s="134" t="s">
        <v>35</v>
      </c>
      <c r="B24" s="140">
        <f>$H$14*SUM('Revenue details'!E188:H188)/1000</f>
        <v>0</v>
      </c>
      <c r="C24" s="137">
        <f>$H$14*SUM('Revenue details'!I188:L188)/1000</f>
        <v>0</v>
      </c>
      <c r="D24" s="137">
        <f>$H$14*SUM('Revenue details'!M188:P188)/1000</f>
        <v>0</v>
      </c>
      <c r="E24" s="137">
        <f>$H$14*SUM('Revenue details'!Q188:T188)/1000</f>
        <v>0</v>
      </c>
      <c r="F24" s="137">
        <f>$H$14*SUM('Revenue details'!U188:X188)/1000</f>
        <v>0</v>
      </c>
      <c r="G24" s="137">
        <f>$H$14*SUM('Revenue details'!Y188:AB188)/1000</f>
        <v>0</v>
      </c>
      <c r="H24" s="137">
        <f>$H$14*SUM('Revenue details'!AC188:AF188)/1000</f>
        <v>0</v>
      </c>
      <c r="I24" s="137">
        <f>$H$14*SUM('Revenue details'!AG188:AJ188)/1000</f>
        <v>0</v>
      </c>
      <c r="J24" s="137">
        <f>$H$14*SUM('Revenue details'!AK188:AN188)/1000</f>
        <v>0</v>
      </c>
      <c r="K24" s="137">
        <f>$H$14*SUM('Revenue details'!AO188:AR188)/1000</f>
        <v>0</v>
      </c>
      <c r="L24" s="138">
        <f>$H$14*SUM('Revenue details'!AS188:AV188)/1000</f>
        <v>0</v>
      </c>
      <c r="M24" s="139"/>
      <c r="N24" s="113"/>
    </row>
    <row r="25" spans="1:14" ht="15.5" hidden="1" outlineLevel="1" x14ac:dyDescent="0.35">
      <c r="A25" s="134" t="s">
        <v>36</v>
      </c>
      <c r="B25" s="140">
        <f>$H$14*SUM('Revenue details'!E189:H189)/1000</f>
        <v>0</v>
      </c>
      <c r="C25" s="137">
        <f>$H$14*SUM('Revenue details'!I189:L189)/1000</f>
        <v>0</v>
      </c>
      <c r="D25" s="137">
        <f>$H$14*SUM('Revenue details'!M189:P189)/1000</f>
        <v>0</v>
      </c>
      <c r="E25" s="137">
        <f>$H$14*SUM('Revenue details'!Q189:T189)/1000</f>
        <v>0</v>
      </c>
      <c r="F25" s="137">
        <f>$H$14*SUM('Revenue details'!U189:X189)/1000</f>
        <v>0</v>
      </c>
      <c r="G25" s="137">
        <f>$H$14*SUM('Revenue details'!Y189:AB189)/1000</f>
        <v>0</v>
      </c>
      <c r="H25" s="137">
        <f>$H$14*SUM('Revenue details'!AC189:AF189)/1000</f>
        <v>0</v>
      </c>
      <c r="I25" s="137">
        <f>$H$14*SUM('Revenue details'!AG189:AJ189)/1000</f>
        <v>0</v>
      </c>
      <c r="J25" s="137">
        <f>$H$14*SUM('Revenue details'!AK189:AN189)/1000</f>
        <v>0</v>
      </c>
      <c r="K25" s="137">
        <f>$H$14*SUM('Revenue details'!AO189:AR189)/1000</f>
        <v>0</v>
      </c>
      <c r="L25" s="138">
        <f>$H$14*SUM('Revenue details'!AS189:AV189)/1000</f>
        <v>0</v>
      </c>
      <c r="M25" s="139"/>
      <c r="N25" s="113"/>
    </row>
    <row r="26" spans="1:14" ht="15.5" collapsed="1" x14ac:dyDescent="0.35">
      <c r="A26" s="134" t="s">
        <v>37</v>
      </c>
      <c r="B26" s="140">
        <f>$H$14*SUM('Revenue details'!E192:H192)/1000</f>
        <v>0</v>
      </c>
      <c r="C26" s="137">
        <f>$H$14*SUM('Revenue details'!I192:L192)/1000</f>
        <v>0</v>
      </c>
      <c r="D26" s="137">
        <f>$H$14*SUM('Revenue details'!M192:P192)/1000</f>
        <v>0</v>
      </c>
      <c r="E26" s="137">
        <f>$H$14*SUM('Revenue details'!Q192:T192)/1000</f>
        <v>0</v>
      </c>
      <c r="F26" s="137">
        <f>$H$14*SUM('Revenue details'!U192:X192)/1000</f>
        <v>0</v>
      </c>
      <c r="G26" s="137">
        <f>$H$14*SUM('Revenue details'!Y192:AB192)/1000</f>
        <v>0</v>
      </c>
      <c r="H26" s="137">
        <f>$H$14*SUM('Revenue details'!AC192:AF192)/1000</f>
        <v>0</v>
      </c>
      <c r="I26" s="137">
        <f>$H$14*SUM('Revenue details'!AG192:AJ192)/1000</f>
        <v>0</v>
      </c>
      <c r="J26" s="137">
        <f>$H$14*SUM('Revenue details'!AK192:AN192)/1000</f>
        <v>0</v>
      </c>
      <c r="K26" s="137">
        <f>$H$14*SUM('Revenue details'!AO192:AR192)/1000</f>
        <v>0</v>
      </c>
      <c r="L26" s="138">
        <f>$H$14*SUM('Revenue details'!AS192:AV192)/1000</f>
        <v>0</v>
      </c>
      <c r="M26" s="142">
        <f>SUM(B26:L26)</f>
        <v>0</v>
      </c>
      <c r="N26" s="113"/>
    </row>
    <row r="27" spans="1:14" ht="15.5" x14ac:dyDescent="0.35">
      <c r="A27" s="134" t="s">
        <v>38</v>
      </c>
      <c r="B27" s="143">
        <f>B18-B26</f>
        <v>0</v>
      </c>
      <c r="C27" s="137">
        <f t="shared" ref="C27:L27" si="3">C18-C26</f>
        <v>0</v>
      </c>
      <c r="D27" s="137">
        <f t="shared" si="3"/>
        <v>0</v>
      </c>
      <c r="E27" s="137">
        <f t="shared" si="3"/>
        <v>0</v>
      </c>
      <c r="F27" s="137">
        <f t="shared" si="3"/>
        <v>0</v>
      </c>
      <c r="G27" s="137">
        <f t="shared" si="3"/>
        <v>0</v>
      </c>
      <c r="H27" s="137">
        <f t="shared" si="3"/>
        <v>0</v>
      </c>
      <c r="I27" s="137">
        <f t="shared" si="3"/>
        <v>0</v>
      </c>
      <c r="J27" s="137">
        <f t="shared" si="3"/>
        <v>0</v>
      </c>
      <c r="K27" s="137">
        <f t="shared" si="3"/>
        <v>0</v>
      </c>
      <c r="L27" s="138">
        <f t="shared" si="3"/>
        <v>0</v>
      </c>
      <c r="M27" s="142">
        <f>SUM(B27:L27)</f>
        <v>0</v>
      </c>
      <c r="N27" s="113"/>
    </row>
    <row r="28" spans="1:14" ht="15.5" x14ac:dyDescent="0.35">
      <c r="A28" s="134" t="s">
        <v>39</v>
      </c>
      <c r="B28" s="143">
        <f>B27/(POWER((1+$H$11),0))</f>
        <v>0</v>
      </c>
      <c r="C28" s="137">
        <f>C27/(POWER((1+$H$11),1))</f>
        <v>0</v>
      </c>
      <c r="D28" s="137">
        <f>D27/(POWER((1+$H$11),2))</f>
        <v>0</v>
      </c>
      <c r="E28" s="137">
        <f>E27/(POWER((1+$H$11),3))</f>
        <v>0</v>
      </c>
      <c r="F28" s="137">
        <f>F27/(POWER((1+$H$11),4))</f>
        <v>0</v>
      </c>
      <c r="G28" s="137">
        <f>G27/(POWER((1+$H$11),5))</f>
        <v>0</v>
      </c>
      <c r="H28" s="137">
        <f>H27/(POWER((1+$H$11),6))</f>
        <v>0</v>
      </c>
      <c r="I28" s="137">
        <f>I27/(POWER((1+$H$11),7))</f>
        <v>0</v>
      </c>
      <c r="J28" s="137">
        <f>J27/(POWER((1+$H$11),8))</f>
        <v>0</v>
      </c>
      <c r="K28" s="137">
        <f>K27/(POWER((1+$H$11),9))</f>
        <v>0</v>
      </c>
      <c r="L28" s="138">
        <f>L27/(POWER((1+$H$11),10))</f>
        <v>0</v>
      </c>
      <c r="M28" s="142">
        <f>SUM(B28:L28)</f>
        <v>0</v>
      </c>
      <c r="N28" s="113"/>
    </row>
    <row r="29" spans="1:14" ht="15.5" x14ac:dyDescent="0.35">
      <c r="A29" s="134" t="s">
        <v>40</v>
      </c>
      <c r="B29" s="144">
        <f>IFERROR(B27/B18,0)</f>
        <v>0</v>
      </c>
      <c r="C29" s="119">
        <f t="shared" ref="C29:L29" si="4">IFERROR(C27/C18,0)</f>
        <v>0</v>
      </c>
      <c r="D29" s="119">
        <f>IFERROR(D27/D18,0)</f>
        <v>0</v>
      </c>
      <c r="E29" s="119">
        <f t="shared" si="4"/>
        <v>0</v>
      </c>
      <c r="F29" s="119">
        <f t="shared" si="4"/>
        <v>0</v>
      </c>
      <c r="G29" s="119">
        <f t="shared" si="4"/>
        <v>0</v>
      </c>
      <c r="H29" s="119">
        <f t="shared" si="4"/>
        <v>0</v>
      </c>
      <c r="I29" s="119">
        <f t="shared" si="4"/>
        <v>0</v>
      </c>
      <c r="J29" s="119">
        <f t="shared" si="4"/>
        <v>0</v>
      </c>
      <c r="K29" s="119">
        <f t="shared" si="4"/>
        <v>0</v>
      </c>
      <c r="L29" s="145">
        <f t="shared" si="4"/>
        <v>0</v>
      </c>
      <c r="M29" s="139"/>
      <c r="N29" s="113"/>
    </row>
    <row r="30" spans="1:14" ht="15.5" hidden="1" outlineLevel="1" x14ac:dyDescent="0.35">
      <c r="A30" s="146" t="s">
        <v>41</v>
      </c>
      <c r="B30" s="147">
        <f>$H$14*SUM('Revenue details'!E196:H196)/1000</f>
        <v>0</v>
      </c>
      <c r="C30" s="148">
        <f>$H$14*SUM('Revenue details'!I196:L196)/1000</f>
        <v>0</v>
      </c>
      <c r="D30" s="148">
        <f>$H$14*SUM('Revenue details'!M196:P196)/1000</f>
        <v>0</v>
      </c>
      <c r="E30" s="148">
        <f>$H$14*SUM('Revenue details'!Q196:T196)/1000</f>
        <v>0</v>
      </c>
      <c r="F30" s="148">
        <f>$H$14*SUM('Revenue details'!U196:X196)/1000</f>
        <v>0</v>
      </c>
      <c r="G30" s="148">
        <f>$H$14*SUM('Revenue details'!Y196:AB196)/1000</f>
        <v>0</v>
      </c>
      <c r="H30" s="148">
        <f>$H$14*SUM('Revenue details'!AC196:AF196)/1000</f>
        <v>0</v>
      </c>
      <c r="I30" s="148">
        <f>$H$14*SUM('Revenue details'!AG196:AJ196)/1000</f>
        <v>0</v>
      </c>
      <c r="J30" s="148">
        <f>$H$14*SUM('Revenue details'!AK196:AN196)/1000</f>
        <v>0</v>
      </c>
      <c r="K30" s="148">
        <f>$H$14*SUM('Revenue details'!AO196:AR196)/1000</f>
        <v>0</v>
      </c>
      <c r="L30" s="149">
        <f>$H$14*SUM('Revenue details'!AS196:AV196)/1000</f>
        <v>0</v>
      </c>
      <c r="M30" s="139"/>
      <c r="N30" s="113"/>
    </row>
    <row r="31" spans="1:14" ht="15.5" hidden="1" outlineLevel="1" x14ac:dyDescent="0.35">
      <c r="A31" s="134" t="s">
        <v>42</v>
      </c>
      <c r="B31" s="147">
        <f>$H$14*SUM('Revenue details'!E197:H197)/1000</f>
        <v>0</v>
      </c>
      <c r="C31" s="148">
        <f>$H$14*SUM('Revenue details'!I197:L197)/1000</f>
        <v>0</v>
      </c>
      <c r="D31" s="148">
        <f>$H$14*SUM('Revenue details'!M197:P197)/1000</f>
        <v>0</v>
      </c>
      <c r="E31" s="148">
        <f>$H$14*SUM('Revenue details'!Q197:T197)/1000</f>
        <v>0</v>
      </c>
      <c r="F31" s="148">
        <f>$H$14*SUM('Revenue details'!U197:X197)/1000</f>
        <v>0</v>
      </c>
      <c r="G31" s="148">
        <f>$H$14*SUM('Revenue details'!Y197:AB197)/1000</f>
        <v>0</v>
      </c>
      <c r="H31" s="148">
        <f>$H$14*SUM('Revenue details'!AC197:AF197)/1000</f>
        <v>0</v>
      </c>
      <c r="I31" s="148">
        <f>$H$14*SUM('Revenue details'!AG197:AJ197)/1000</f>
        <v>0</v>
      </c>
      <c r="J31" s="148">
        <f>$H$14*SUM('Revenue details'!AK197:AN197)/1000</f>
        <v>0</v>
      </c>
      <c r="K31" s="148">
        <f>$H$14*SUM('Revenue details'!AO197:AR197)/1000</f>
        <v>0</v>
      </c>
      <c r="L31" s="149">
        <f>$H$14*SUM('Revenue details'!AS197:AV197)/1000</f>
        <v>0</v>
      </c>
      <c r="M31" s="139"/>
      <c r="N31" s="113"/>
    </row>
    <row r="32" spans="1:14" ht="15.5" hidden="1" outlineLevel="1" x14ac:dyDescent="0.35">
      <c r="A32" s="134" t="s">
        <v>43</v>
      </c>
      <c r="B32" s="147">
        <f>$H$14*SUM('Revenue details'!E198:H198)/1000</f>
        <v>0</v>
      </c>
      <c r="C32" s="148">
        <f>$H$14*SUM('Revenue details'!I198:L198)/1000</f>
        <v>0</v>
      </c>
      <c r="D32" s="148">
        <f>$H$14*SUM('Revenue details'!M198:P198)/1000</f>
        <v>0</v>
      </c>
      <c r="E32" s="148">
        <f>$H$14*SUM('Revenue details'!Q198:T198)/1000</f>
        <v>0</v>
      </c>
      <c r="F32" s="148">
        <f>$H$14*SUM('Revenue details'!U198:X198)/1000</f>
        <v>0</v>
      </c>
      <c r="G32" s="148">
        <f>$H$14*SUM('Revenue details'!Y198:AB198)/1000</f>
        <v>0</v>
      </c>
      <c r="H32" s="148">
        <f>$H$14*SUM('Revenue details'!AC198:AF198)/1000</f>
        <v>0</v>
      </c>
      <c r="I32" s="148">
        <f>$H$14*SUM('Revenue details'!AG198:AJ198)/1000</f>
        <v>0</v>
      </c>
      <c r="J32" s="148">
        <f>$H$14*SUM('Revenue details'!AK198:AN198)/1000</f>
        <v>0</v>
      </c>
      <c r="K32" s="148">
        <f>$H$14*SUM('Revenue details'!AO198:AR198)/1000</f>
        <v>0</v>
      </c>
      <c r="L32" s="149">
        <f>$H$14*SUM('Revenue details'!AS198:AV198)/1000</f>
        <v>0</v>
      </c>
      <c r="M32" s="139"/>
      <c r="N32" s="113"/>
    </row>
    <row r="33" spans="1:14" ht="15.5" hidden="1" outlineLevel="1" x14ac:dyDescent="0.35">
      <c r="A33" s="134" t="s">
        <v>44</v>
      </c>
      <c r="B33" s="147">
        <f>$H$14*SUM('Revenue details'!E199:H199)/1000</f>
        <v>0</v>
      </c>
      <c r="C33" s="148">
        <f>$H$14*SUM('Revenue details'!I199:L199)/1000</f>
        <v>0</v>
      </c>
      <c r="D33" s="148">
        <f>$H$14*SUM('Revenue details'!M199:P199)/1000</f>
        <v>0</v>
      </c>
      <c r="E33" s="148">
        <f>$H$14*SUM('Revenue details'!Q199:T199)/1000</f>
        <v>0</v>
      </c>
      <c r="F33" s="148">
        <f>$H$14*SUM('Revenue details'!U199:X199)/1000</f>
        <v>0</v>
      </c>
      <c r="G33" s="148">
        <f>$H$14*SUM('Revenue details'!Y199:AB199)/1000</f>
        <v>0</v>
      </c>
      <c r="H33" s="148">
        <f>$H$14*SUM('Revenue details'!AC199:AF199)/1000</f>
        <v>0</v>
      </c>
      <c r="I33" s="148">
        <f>$H$14*SUM('Revenue details'!AG199:AJ199)/1000</f>
        <v>0</v>
      </c>
      <c r="J33" s="148">
        <f>$H$14*SUM('Revenue details'!AK199:AN199)/1000</f>
        <v>0</v>
      </c>
      <c r="K33" s="148">
        <f>$H$14*SUM('Revenue details'!AO199:AR199)/1000</f>
        <v>0</v>
      </c>
      <c r="L33" s="149">
        <f>$H$14*SUM('Revenue details'!AS199:AV199)/1000</f>
        <v>0</v>
      </c>
      <c r="M33" s="139"/>
      <c r="N33" s="113"/>
    </row>
    <row r="34" spans="1:14" ht="15.5" collapsed="1" x14ac:dyDescent="0.35">
      <c r="A34" s="134" t="s">
        <v>45</v>
      </c>
      <c r="B34" s="150">
        <f t="shared" ref="B34:L34" si="5">SUM(B30:B33)</f>
        <v>0</v>
      </c>
      <c r="C34" s="148">
        <f t="shared" si="5"/>
        <v>0</v>
      </c>
      <c r="D34" s="148">
        <f t="shared" si="5"/>
        <v>0</v>
      </c>
      <c r="E34" s="148">
        <f t="shared" si="5"/>
        <v>0</v>
      </c>
      <c r="F34" s="148">
        <f t="shared" si="5"/>
        <v>0</v>
      </c>
      <c r="G34" s="148">
        <f t="shared" si="5"/>
        <v>0</v>
      </c>
      <c r="H34" s="148">
        <f t="shared" si="5"/>
        <v>0</v>
      </c>
      <c r="I34" s="148">
        <f t="shared" si="5"/>
        <v>0</v>
      </c>
      <c r="J34" s="148">
        <f t="shared" si="5"/>
        <v>0</v>
      </c>
      <c r="K34" s="148">
        <f t="shared" si="5"/>
        <v>0</v>
      </c>
      <c r="L34" s="151">
        <f t="shared" si="5"/>
        <v>0</v>
      </c>
      <c r="M34" s="152">
        <f>SUM(B34:L34)</f>
        <v>0</v>
      </c>
      <c r="N34" s="113"/>
    </row>
    <row r="35" spans="1:14" ht="16" thickBot="1" x14ac:dyDescent="0.4">
      <c r="A35" s="153" t="s">
        <v>46</v>
      </c>
      <c r="B35" s="154">
        <f>B34/(POWER((1+$H$11),0))</f>
        <v>0</v>
      </c>
      <c r="C35" s="155">
        <f>C34/(POWER((1+$H$11),1))</f>
        <v>0</v>
      </c>
      <c r="D35" s="155">
        <f>D34/(POWER((1+$H$11),2))</f>
        <v>0</v>
      </c>
      <c r="E35" s="155">
        <f>E34/(POWER((1+$H$11),3))</f>
        <v>0</v>
      </c>
      <c r="F35" s="155">
        <f>F34/(POWER((1+$H$11),4))</f>
        <v>0</v>
      </c>
      <c r="G35" s="155">
        <f>G34/(POWER((1+$H$11),5))</f>
        <v>0</v>
      </c>
      <c r="H35" s="155">
        <f>H34/(POWER((1+$H$11),6))</f>
        <v>0</v>
      </c>
      <c r="I35" s="155">
        <f>I34/(POWER((1+$H$11),7))</f>
        <v>0</v>
      </c>
      <c r="J35" s="155">
        <f>J34/(POWER((1+$H$11),8))</f>
        <v>0</v>
      </c>
      <c r="K35" s="155">
        <f>K34/(POWER((1+$H$11),9))</f>
        <v>0</v>
      </c>
      <c r="L35" s="156">
        <f>L34/(POWER((1+$H$11),10))</f>
        <v>0</v>
      </c>
      <c r="M35" s="157">
        <f>SUM(B35:L35)</f>
        <v>0</v>
      </c>
      <c r="N35" s="113"/>
    </row>
    <row r="36" spans="1:14" ht="15" thickBot="1" x14ac:dyDescent="0.4"/>
    <row r="37" spans="1:14" ht="16" thickBot="1" x14ac:dyDescent="0.4">
      <c r="A37" s="158" t="s">
        <v>47</v>
      </c>
      <c r="B37" s="159" t="str">
        <f>IFERROR(M23/(SUM('Revenue details'!E6:AV6)+SUM('Revenue details'!E17:AV17)+SUM('Revenue details'!E28:AV28)+SUM('Revenue details'!E39:AV39)+SUM('Revenue details'!E50:AV50)+SUM('Revenue details'!E61:AV61)+SUM('Revenue details'!E72:AV72)+SUM('Revenue details'!E83:AV83)+SUM('Revenue details'!E94:AV94)+SUM('Revenue details'!E105:AV105)+SUM('Revenue details'!E116:AV116)+SUM('Revenue details'!E127:AV127)+SUM('Revenue details'!E138:AV138)+SUM('Revenue details'!E149:AV149)+SUM('Revenue details'!E160:AV160)),"-")</f>
        <v>-</v>
      </c>
      <c r="C37" s="113"/>
      <c r="D37" s="160"/>
      <c r="E37" s="113"/>
      <c r="F37" s="113"/>
      <c r="G37" s="113"/>
      <c r="H37" s="113"/>
      <c r="I37" s="113"/>
      <c r="J37" s="113"/>
      <c r="K37" s="113"/>
      <c r="L37" s="113"/>
      <c r="M37" s="113"/>
    </row>
    <row r="38" spans="1:14" ht="16" hidden="1" outlineLevel="1" thickBot="1" x14ac:dyDescent="0.4">
      <c r="A38" s="128" t="s">
        <v>48</v>
      </c>
      <c r="B38" s="124">
        <f t="shared" ref="B38:L38" si="6">B17</f>
        <v>2022</v>
      </c>
      <c r="C38" s="125">
        <f t="shared" si="6"/>
        <v>2023</v>
      </c>
      <c r="D38" s="125">
        <f t="shared" si="6"/>
        <v>2024</v>
      </c>
      <c r="E38" s="125">
        <f t="shared" si="6"/>
        <v>2025</v>
      </c>
      <c r="F38" s="125">
        <f t="shared" si="6"/>
        <v>2026</v>
      </c>
      <c r="G38" s="125">
        <f t="shared" si="6"/>
        <v>2027</v>
      </c>
      <c r="H38" s="125">
        <f t="shared" si="6"/>
        <v>2028</v>
      </c>
      <c r="I38" s="125">
        <f t="shared" si="6"/>
        <v>2029</v>
      </c>
      <c r="J38" s="125">
        <f t="shared" si="6"/>
        <v>2030</v>
      </c>
      <c r="K38" s="126">
        <f t="shared" si="6"/>
        <v>2031</v>
      </c>
      <c r="L38" s="161">
        <f t="shared" si="6"/>
        <v>2032</v>
      </c>
      <c r="M38" s="113"/>
    </row>
    <row r="39" spans="1:14" ht="15.5" hidden="1" outlineLevel="1" x14ac:dyDescent="0.35">
      <c r="A39" s="162" t="s">
        <v>49</v>
      </c>
      <c r="B39" s="163">
        <f>B28-B35</f>
        <v>0</v>
      </c>
      <c r="C39" s="164">
        <f t="shared" ref="C39:L39" si="7">B39+C28-C35</f>
        <v>0</v>
      </c>
      <c r="D39" s="164">
        <f t="shared" si="7"/>
        <v>0</v>
      </c>
      <c r="E39" s="164">
        <f t="shared" si="7"/>
        <v>0</v>
      </c>
      <c r="F39" s="164">
        <f t="shared" si="7"/>
        <v>0</v>
      </c>
      <c r="G39" s="164">
        <f t="shared" si="7"/>
        <v>0</v>
      </c>
      <c r="H39" s="164">
        <f t="shared" si="7"/>
        <v>0</v>
      </c>
      <c r="I39" s="164">
        <f t="shared" si="7"/>
        <v>0</v>
      </c>
      <c r="J39" s="164">
        <f t="shared" si="7"/>
        <v>0</v>
      </c>
      <c r="K39" s="164">
        <f t="shared" si="7"/>
        <v>0</v>
      </c>
      <c r="L39" s="165">
        <f t="shared" si="7"/>
        <v>0</v>
      </c>
      <c r="M39" s="113"/>
    </row>
    <row r="40" spans="1:14" ht="15.5" hidden="1" outlineLevel="1" x14ac:dyDescent="0.35">
      <c r="A40" s="166" t="s">
        <v>50</v>
      </c>
      <c r="B40" s="167">
        <f>SUM(B18)</f>
        <v>0</v>
      </c>
      <c r="C40" s="168">
        <f>SUM(B18:C18)</f>
        <v>0</v>
      </c>
      <c r="D40" s="168">
        <f>SUM($B$18:D18)</f>
        <v>0</v>
      </c>
      <c r="E40" s="168">
        <f>SUM($B$18:E18)</f>
        <v>0</v>
      </c>
      <c r="F40" s="168">
        <f>SUM($B$18:F18)</f>
        <v>0</v>
      </c>
      <c r="G40" s="168">
        <f>SUM($B$18:G18)</f>
        <v>0</v>
      </c>
      <c r="H40" s="168">
        <f>SUM($B$18:H18)</f>
        <v>0</v>
      </c>
      <c r="I40" s="168">
        <f>SUM($B$18:I18)</f>
        <v>0</v>
      </c>
      <c r="J40" s="168">
        <f>SUM($B$18:J18)</f>
        <v>0</v>
      </c>
      <c r="K40" s="168">
        <f>SUM($B$18:K18)</f>
        <v>0</v>
      </c>
      <c r="L40" s="169">
        <f>SUM($B$18:L18)</f>
        <v>0</v>
      </c>
      <c r="M40" s="113"/>
    </row>
    <row r="41" spans="1:14" ht="16" hidden="1" outlineLevel="1" thickBot="1" x14ac:dyDescent="0.4">
      <c r="A41" s="170" t="s">
        <v>51</v>
      </c>
      <c r="B41" s="171">
        <f>IFERROR(IF(B28&lt;B35,0,B35/B28),0)</f>
        <v>0</v>
      </c>
      <c r="C41" s="172">
        <f>IFERROR(IF((B28+C28)&lt;(B35+C35),0,(IF(B28&gt;B35,0,1+(B35+C35)/(B28+C28)))),0)</f>
        <v>0</v>
      </c>
      <c r="D41" s="172">
        <f>IFERROR(IF((B28+C28+D28)&lt;(B35+C35+D35),0,(IF((B28+C28)&gt;(B35+C35),0,2+(B35+C35+D35)/(B28+C28+D28)))),0)</f>
        <v>0</v>
      </c>
      <c r="E41" s="172">
        <f>IFERROR(IF((B28+C28+D28+E28)&lt;(B35+C35+D35+E35),0,(IF((B28+C28+D28)&gt;(B35+C35+D35),0,3+(B35+C35+D35+E35)/(B28+C28+D28+E28)))),0)</f>
        <v>0</v>
      </c>
      <c r="F41" s="172">
        <f>IFERROR(IF((B28+C28+D28+E28+F28)&lt;(B35+C35+D35+E35+F35),0,(IF((B28+C28+D28+E28)&gt;(B35+C35+D35+E35),0,4+(B35+C35+D35+E35+F35)/(B28+C28+D28+E28+F28)))),0)</f>
        <v>0</v>
      </c>
      <c r="G41" s="172">
        <f>IFERROR(IF((B28+C28+D28+E28+F28+G28)&lt;(B35+C35+D35+E35+F35+G35),0,(IF((B28+C28+D28+E28+F28)&gt;(B35+C35+D35+E35+F35),0,5+(B35+C35+D35+E35+F35+G35)/(B28+C28+D28+E28+F28+G28)))),0)</f>
        <v>0</v>
      </c>
      <c r="H41" s="172">
        <f>IFERROR(IF((B28+C28+D28+E28+F28+G28+H28)&lt;(B35+C35+D35+E35+F35+G35+H35),0,(IF((B28+C28+D28+E28+F28+G28)&gt;(B35+C35+D35+E35+F35+G35),0,6+(B35+C35+D35+E35+F35+G35+H35)/(B28+C28+D28+E28+F28+G28+H28)))),0)</f>
        <v>0</v>
      </c>
      <c r="I41" s="172">
        <f>IFERROR(IF((B28+C28+D28+E28+F28+G28+H28+I28)&lt;(B35+C35+D35+E35+F35+G35+H35+I35),0,(IF((B28+C28+D28+E28+F28+G28+H28)&gt;(B35+C35+D35+E35+F35+G35+H35),0,7+(B35+C35+D35+E35+F35+G35+H35+I35)/(B28+C28+D28+E28+F28+G28+H28+I28)))),0)</f>
        <v>0</v>
      </c>
      <c r="J41" s="172">
        <f>IFERROR(IF((B28+C28+D28+E28+F28+G28+H28+I28+J28)&lt;(B35+C35+D35+E35+F35+G35+H35+I35+J35),0,(IF((B28+C28+D28+E28+F28+G28+H28+I28)&gt;(B35+C35+D35+E35+F35+G35+H35+I35),0,8+(B35+C35+D35+E35+F35+G35+H35+I35+J35)/(B28+C28+D28+E28+F28+G28+H28+I28+J28)))),0)</f>
        <v>0</v>
      </c>
      <c r="K41" s="172">
        <f>IFERROR(IF((B28+C28+D28+E28+F28+G28+H28+I28+J28+K28)&lt;(B35+C35+D35+E35+F35+G35+H35+I35+J35+K35),0,(IF((B28+C28+D28+E28+F28+G28+H28+I28+J28)&gt;(B35+C35+D35+E35+F35+G35+H35+I35+J35),0,9+(B35+C35+D35+E35+F35+G35+H35+I35+J35+K35)/(B28+C28+D28+E28+F28+G28+H28+I28+J28+K28)))),0)</f>
        <v>0</v>
      </c>
      <c r="L41" s="173">
        <f>IFERROR(IF((B28+C28+D28+E28+F28+G28+H28+I28+J28+K28+L28)&lt;(B35+C35+D35+E35+F35+G35+H35+I35+J35+K35+L35),0,(IF((B28+C28+D28+E28+F28+G28+H28+I28+J28+K28)&gt;(B35+C35+D35+E35+F35+G35+H35+I35+J35+K35),0,10+(B35+C35+D35+E35+F35+G35+H35+I35+J35+K35+L35)/(B28+C28+D28+E28+F28+G28+H28+I28+J28+K28+L28)))),0)</f>
        <v>0</v>
      </c>
      <c r="M41" s="113"/>
    </row>
    <row r="42" spans="1:14" ht="15.5" collapsed="1" x14ac:dyDescent="0.35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</row>
    <row r="43" spans="1:14" ht="16" thickBot="1" x14ac:dyDescent="0.4">
      <c r="A43" s="174"/>
      <c r="B43" s="174"/>
      <c r="C43" s="175" t="s">
        <v>52</v>
      </c>
      <c r="D43" s="176"/>
      <c r="E43" s="175" t="s">
        <v>53</v>
      </c>
      <c r="F43" s="113"/>
      <c r="G43" s="113"/>
      <c r="H43" s="113"/>
      <c r="I43" s="113"/>
      <c r="J43" s="113"/>
      <c r="K43" s="113"/>
      <c r="L43" s="113"/>
      <c r="M43" s="113"/>
    </row>
    <row r="44" spans="1:14" ht="15.5" x14ac:dyDescent="0.35">
      <c r="A44" s="177" t="s">
        <v>206</v>
      </c>
      <c r="B44" s="178">
        <f>IFERROR( SUM(B28:L28)-SUM(B35:L35),"-")</f>
        <v>0</v>
      </c>
      <c r="C44" s="179" t="s">
        <v>55</v>
      </c>
      <c r="D44" s="202" t="s">
        <v>56</v>
      </c>
      <c r="E44" s="207">
        <f>'BC Summary US$ (EV)'!B44/H13</f>
        <v>0</v>
      </c>
      <c r="F44" s="113"/>
      <c r="G44" s="113"/>
      <c r="H44" s="113"/>
      <c r="I44" s="113"/>
      <c r="J44" s="113"/>
      <c r="K44" s="113"/>
      <c r="L44" s="113"/>
      <c r="M44" s="113"/>
    </row>
    <row r="45" spans="1:14" ht="15.5" x14ac:dyDescent="0.35">
      <c r="A45" s="181" t="s">
        <v>40</v>
      </c>
      <c r="B45" s="182" t="str">
        <f>IFERROR(SUM(B27:L27)/SUM(B18:L18),"-")</f>
        <v>-</v>
      </c>
      <c r="C45" s="183" t="s">
        <v>55</v>
      </c>
      <c r="D45" s="203">
        <f>IF(OR(B8="Networking",B8="Protocols"),65%,IF(H15="Standard",45%,38%))</f>
        <v>0.45</v>
      </c>
      <c r="E45" s="208" t="str">
        <f>'BC Summary US$ (EV)'!B45</f>
        <v>-</v>
      </c>
      <c r="F45" s="113"/>
      <c r="G45" s="113"/>
      <c r="H45" s="113"/>
      <c r="I45" s="113"/>
      <c r="J45" s="113"/>
      <c r="K45" s="113"/>
      <c r="L45" s="113"/>
      <c r="M45" s="113"/>
    </row>
    <row r="46" spans="1:14" ht="15.5" x14ac:dyDescent="0.35">
      <c r="A46" s="181" t="s">
        <v>57</v>
      </c>
      <c r="B46" s="185" t="str">
        <f>IFERROR(IF(SUM(B35:L35)=0,"-",B44/SUM(B35:L35)),"-")</f>
        <v>-</v>
      </c>
      <c r="C46" s="186" t="s">
        <v>55</v>
      </c>
      <c r="D46" s="204">
        <v>10</v>
      </c>
      <c r="E46" s="209" t="str">
        <f>'BC Summary US$ (EV)'!B46</f>
        <v>-</v>
      </c>
      <c r="F46" s="113"/>
      <c r="G46" s="113"/>
      <c r="H46" s="113"/>
      <c r="I46" s="113"/>
      <c r="J46" s="113"/>
      <c r="K46" s="113"/>
      <c r="L46" s="113"/>
      <c r="M46" s="113"/>
    </row>
    <row r="47" spans="1:14" ht="15.5" x14ac:dyDescent="0.35">
      <c r="A47" s="181" t="s">
        <v>58</v>
      </c>
      <c r="B47" s="185">
        <f>IFERROR(SUM(B41:L41),"-")</f>
        <v>0</v>
      </c>
      <c r="C47" s="188" t="s">
        <v>59</v>
      </c>
      <c r="D47" s="205">
        <v>3</v>
      </c>
      <c r="E47" s="209">
        <f>'BC Summary US$ (EV)'!B47</f>
        <v>0</v>
      </c>
      <c r="F47" s="113"/>
      <c r="G47" s="113"/>
      <c r="H47" s="113"/>
      <c r="I47" s="113"/>
      <c r="J47" s="113"/>
      <c r="K47" s="113"/>
      <c r="L47" s="113"/>
      <c r="M47" s="113"/>
    </row>
    <row r="48" spans="1:14" ht="16" thickBot="1" x14ac:dyDescent="0.4">
      <c r="A48" s="190" t="s">
        <v>60</v>
      </c>
      <c r="B48" s="191" t="str">
        <f>IFERROR(IRR(B39:L39),"-")</f>
        <v>-</v>
      </c>
      <c r="C48" s="192"/>
      <c r="D48" s="206"/>
      <c r="E48" s="210" t="str">
        <f>'BC Summary US$ (EV)'!B48</f>
        <v>-</v>
      </c>
      <c r="F48" s="113"/>
      <c r="G48" s="113"/>
      <c r="H48" s="113"/>
      <c r="I48" s="113"/>
      <c r="J48" s="113"/>
      <c r="K48" s="113"/>
      <c r="L48" s="113"/>
      <c r="M48" s="113"/>
    </row>
    <row r="49" spans="1:13" ht="15.5" x14ac:dyDescent="0.35">
      <c r="A49" s="174"/>
      <c r="B49" s="174"/>
      <c r="C49" s="174"/>
      <c r="D49" s="174"/>
      <c r="E49" s="174"/>
      <c r="F49" s="113"/>
      <c r="G49" s="113"/>
      <c r="H49" s="113"/>
      <c r="I49" s="113"/>
      <c r="J49" s="113"/>
      <c r="K49" s="113"/>
      <c r="L49" s="113"/>
      <c r="M49" s="113"/>
    </row>
    <row r="50" spans="1:13" ht="15.5" x14ac:dyDescent="0.3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</row>
    <row r="51" spans="1:13" ht="15.5" x14ac:dyDescent="0.3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1:13" ht="16" thickBot="1" x14ac:dyDescent="0.4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</row>
    <row r="53" spans="1:13" ht="15.5" x14ac:dyDescent="0.35">
      <c r="A53" s="194" t="s">
        <v>61</v>
      </c>
      <c r="B53" s="246" t="s">
        <v>62</v>
      </c>
      <c r="C53" s="246"/>
      <c r="D53" s="246"/>
      <c r="E53" s="195" t="s">
        <v>63</v>
      </c>
      <c r="F53" s="113"/>
      <c r="G53" s="113"/>
      <c r="H53" s="113"/>
      <c r="I53" s="113"/>
      <c r="J53" s="113"/>
      <c r="K53" s="113"/>
      <c r="L53" s="113"/>
      <c r="M53" s="113"/>
    </row>
    <row r="54" spans="1:13" ht="15.5" x14ac:dyDescent="0.35">
      <c r="A54" s="218" t="str">
        <f>IF('BC Summary US$'!A54=0,"",'BC Summary US$'!A54)</f>
        <v/>
      </c>
      <c r="B54" s="304" t="str">
        <f>IF('BC Summary US$'!B54=0,"",'BC Summary US$'!B54)</f>
        <v/>
      </c>
      <c r="C54" s="305"/>
      <c r="D54" s="306"/>
      <c r="E54" s="214" t="str">
        <f>IF('BC Summary US$'!E54=0,"",'BC Summary US$'!E54)</f>
        <v/>
      </c>
      <c r="F54" s="113"/>
      <c r="G54" s="113"/>
      <c r="H54" s="113"/>
      <c r="I54" s="113"/>
      <c r="J54" s="113"/>
      <c r="K54" s="113"/>
      <c r="L54" s="113"/>
      <c r="M54" s="113"/>
    </row>
    <row r="55" spans="1:13" ht="15.5" x14ac:dyDescent="0.35">
      <c r="A55" s="218" t="str">
        <f>IF('BC Summary US$'!A55=0,"",'BC Summary US$'!A55)</f>
        <v/>
      </c>
      <c r="B55" s="304" t="str">
        <f>IF('BC Summary US$'!B55=0,"",'BC Summary US$'!B55)</f>
        <v/>
      </c>
      <c r="C55" s="305"/>
      <c r="D55" s="306"/>
      <c r="E55" s="214" t="str">
        <f>IF('BC Summary US$'!E55=0,"",'BC Summary US$'!E55)</f>
        <v/>
      </c>
      <c r="F55" s="113"/>
      <c r="G55" s="113"/>
      <c r="H55" s="113"/>
      <c r="I55" s="113"/>
      <c r="J55" s="113"/>
      <c r="K55" s="113"/>
      <c r="L55" s="113"/>
      <c r="M55" s="113"/>
    </row>
    <row r="56" spans="1:13" ht="15.5" x14ac:dyDescent="0.35">
      <c r="A56" s="218" t="str">
        <f>IF('BC Summary US$'!A56=0,"",'BC Summary US$'!A56)</f>
        <v/>
      </c>
      <c r="B56" s="304" t="str">
        <f>IF('BC Summary US$'!B56=0,"",'BC Summary US$'!B56)</f>
        <v/>
      </c>
      <c r="C56" s="305"/>
      <c r="D56" s="306"/>
      <c r="E56" s="214" t="str">
        <f>IF('BC Summary US$'!E56=0,"",'BC Summary US$'!E56)</f>
        <v/>
      </c>
      <c r="F56" s="113"/>
      <c r="G56" s="113"/>
      <c r="H56" s="113"/>
      <c r="I56" s="113"/>
      <c r="J56" s="113"/>
      <c r="K56" s="113"/>
      <c r="L56" s="113"/>
      <c r="M56" s="113"/>
    </row>
    <row r="57" spans="1:13" ht="15.5" x14ac:dyDescent="0.35">
      <c r="A57" s="218" t="str">
        <f>IF('BC Summary US$'!A57=0,"",'BC Summary US$'!A57)</f>
        <v/>
      </c>
      <c r="B57" s="304" t="str">
        <f>IF('BC Summary US$'!B57=0,"",'BC Summary US$'!B57)</f>
        <v/>
      </c>
      <c r="C57" s="305"/>
      <c r="D57" s="306"/>
      <c r="E57" s="214" t="str">
        <f>IF('BC Summary US$'!E57=0,"",'BC Summary US$'!E57)</f>
        <v/>
      </c>
      <c r="F57" s="113"/>
      <c r="G57" s="113"/>
      <c r="H57" s="113"/>
      <c r="I57" s="113"/>
      <c r="J57" s="113"/>
      <c r="K57" s="113"/>
      <c r="L57" s="113"/>
      <c r="M57" s="113"/>
    </row>
    <row r="58" spans="1:13" ht="16" thickBot="1" x14ac:dyDescent="0.4">
      <c r="A58" s="219" t="str">
        <f>IF('BC Summary US$'!A58=0,"",'BC Summary US$'!A58)</f>
        <v/>
      </c>
      <c r="B58" s="300" t="str">
        <f>IF('BC Summary US$'!B58=0,"",'BC Summary US$'!B58)</f>
        <v/>
      </c>
      <c r="C58" s="301"/>
      <c r="D58" s="302"/>
      <c r="E58" s="215" t="str">
        <f>IF('BC Summary US$'!E58=0,"",'BC Summary US$'!E58)</f>
        <v/>
      </c>
      <c r="F58" s="113"/>
      <c r="G58" s="113"/>
      <c r="H58" s="113"/>
      <c r="I58" s="113"/>
      <c r="J58" s="113"/>
      <c r="K58" s="113"/>
      <c r="L58" s="113"/>
      <c r="M58" s="113"/>
    </row>
  </sheetData>
  <protectedRanges>
    <protectedRange sqref="K12:K14" name="Bereich8_1"/>
    <protectedRange sqref="H15" name="Bereich7_1"/>
    <protectedRange sqref="E15" name="Bereich6_1"/>
    <protectedRange sqref="E11:E13" name="Bereich5_1"/>
    <protectedRange sqref="B11:B15" name="Bereich4_1"/>
    <protectedRange sqref="B8" name="Bereich3_1"/>
    <protectedRange sqref="I3" name="Bereich2_1"/>
    <protectedRange sqref="E2" name="Bereich1_1"/>
    <protectedRange sqref="A54:E58" name="Bereich9_2"/>
  </protectedRanges>
  <dataConsolidate/>
  <mergeCells count="13">
    <mergeCell ref="B8:C8"/>
    <mergeCell ref="E2:G3"/>
    <mergeCell ref="I2:M2"/>
    <mergeCell ref="I3:M7"/>
    <mergeCell ref="A6:B6"/>
    <mergeCell ref="E6:G7"/>
    <mergeCell ref="B58:D58"/>
    <mergeCell ref="B9:C9"/>
    <mergeCell ref="B53:D53"/>
    <mergeCell ref="B54:D54"/>
    <mergeCell ref="B55:D55"/>
    <mergeCell ref="B56:D56"/>
    <mergeCell ref="B57:D57"/>
  </mergeCells>
  <dataValidations count="1">
    <dataValidation showDropDown="1" showInputMessage="1" showErrorMessage="1" sqref="B8:C8" xr:uid="{05AFDEFA-BC84-4B51-AE8F-82600EFF1235}"/>
  </dataValidations>
  <pageMargins left="0.7" right="0.7" top="0.75" bottom="0.75" header="0.3" footer="0.3"/>
  <pageSetup paperSize="9" scale="53" orientation="landscape" r:id="rId1"/>
  <ignoredErrors>
    <ignoredError sqref="C32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A360-4CCE-42BD-8A8A-EB4A13394754}">
  <sheetPr codeName="Tabelle9">
    <tabColor theme="4" tint="0.59999389629810485"/>
    <pageSetUpPr fitToPage="1"/>
  </sheetPr>
  <dimension ref="A1:N58"/>
  <sheetViews>
    <sheetView showGridLines="0" zoomScale="80" zoomScaleNormal="80" workbookViewId="0">
      <selection activeCell="A45" sqref="A45"/>
    </sheetView>
  </sheetViews>
  <sheetFormatPr defaultColWidth="10.81640625" defaultRowHeight="14.5" outlineLevelRow="1" x14ac:dyDescent="0.35"/>
  <cols>
    <col min="1" max="1" width="35" bestFit="1" customWidth="1"/>
    <col min="2" max="12" width="16.54296875" customWidth="1"/>
    <col min="13" max="13" width="16.54296875" bestFit="1" customWidth="1"/>
    <col min="14" max="14" width="14.1796875" bestFit="1" customWidth="1"/>
    <col min="15" max="15" width="11.81640625" bestFit="1" customWidth="1"/>
  </cols>
  <sheetData>
    <row r="1" spans="1:14" ht="15" thickBot="1" x14ac:dyDescent="0.4"/>
    <row r="2" spans="1:14" ht="15.5" x14ac:dyDescent="0.35">
      <c r="C2" s="5" t="s">
        <v>0</v>
      </c>
      <c r="E2" s="307">
        <f>'BC Summary US$'!E2</f>
        <v>0</v>
      </c>
      <c r="F2" s="239"/>
      <c r="G2" s="240"/>
      <c r="I2" s="226" t="s">
        <v>1</v>
      </c>
      <c r="J2" s="227"/>
      <c r="K2" s="227"/>
      <c r="L2" s="227"/>
      <c r="M2" s="228"/>
    </row>
    <row r="3" spans="1:14" x14ac:dyDescent="0.35">
      <c r="C3" s="1" t="s">
        <v>2</v>
      </c>
      <c r="E3" s="241"/>
      <c r="F3" s="242"/>
      <c r="G3" s="243"/>
      <c r="I3" s="308">
        <f>'BC Summary US$'!I3</f>
        <v>0</v>
      </c>
      <c r="J3" s="309"/>
      <c r="K3" s="309"/>
      <c r="L3" s="309"/>
      <c r="M3" s="310"/>
    </row>
    <row r="4" spans="1:14" x14ac:dyDescent="0.35">
      <c r="I4" s="308"/>
      <c r="J4" s="309"/>
      <c r="K4" s="309"/>
      <c r="L4" s="309"/>
      <c r="M4" s="310"/>
    </row>
    <row r="5" spans="1:14" x14ac:dyDescent="0.35">
      <c r="I5" s="308"/>
      <c r="J5" s="309"/>
      <c r="K5" s="309"/>
      <c r="L5" s="309"/>
      <c r="M5" s="310"/>
    </row>
    <row r="6" spans="1:14" ht="15.5" x14ac:dyDescent="0.35">
      <c r="A6" s="237" t="s">
        <v>204</v>
      </c>
      <c r="B6" s="237"/>
      <c r="E6" s="244" t="s">
        <v>207</v>
      </c>
      <c r="F6" s="245"/>
      <c r="G6" s="245"/>
      <c r="I6" s="308"/>
      <c r="J6" s="309"/>
      <c r="K6" s="309"/>
      <c r="L6" s="309"/>
      <c r="M6" s="310"/>
    </row>
    <row r="7" spans="1:14" ht="15" thickBot="1" x14ac:dyDescent="0.4">
      <c r="E7" s="245"/>
      <c r="F7" s="245"/>
      <c r="G7" s="245"/>
      <c r="I7" s="311"/>
      <c r="J7" s="312"/>
      <c r="K7" s="312"/>
      <c r="L7" s="312"/>
      <c r="M7" s="313"/>
    </row>
    <row r="8" spans="1:14" ht="15.5" x14ac:dyDescent="0.35">
      <c r="A8" s="112" t="s">
        <v>5</v>
      </c>
      <c r="B8" s="303">
        <f>'BC Summary US$'!B8</f>
        <v>0</v>
      </c>
      <c r="C8" s="30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ht="15.5" x14ac:dyDescent="0.35">
      <c r="A9" s="112" t="s">
        <v>6</v>
      </c>
      <c r="B9" s="303">
        <f>'BC Summary US$'!B9</f>
        <v>0</v>
      </c>
      <c r="C9" s="30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ht="15.5" x14ac:dyDescent="0.3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ht="15.5" x14ac:dyDescent="0.35">
      <c r="A11" s="112" t="s">
        <v>7</v>
      </c>
      <c r="B11" s="211">
        <f>'BC Summary US$'!B11</f>
        <v>0</v>
      </c>
      <c r="C11" s="113"/>
      <c r="D11" s="112" t="s">
        <v>8</v>
      </c>
      <c r="E11" s="212">
        <f>'BC Summary US$'!E11</f>
        <v>44562</v>
      </c>
      <c r="F11" s="113"/>
      <c r="G11" s="112" t="s">
        <v>9</v>
      </c>
      <c r="H11" s="116">
        <v>8.4000000000000005E-2</v>
      </c>
      <c r="I11" s="113"/>
      <c r="J11" s="117" t="s">
        <v>10</v>
      </c>
      <c r="K11" s="113"/>
      <c r="L11" s="113"/>
      <c r="M11" s="113"/>
      <c r="N11" s="113"/>
    </row>
    <row r="12" spans="1:14" ht="15.5" x14ac:dyDescent="0.35">
      <c r="A12" s="112" t="s">
        <v>11</v>
      </c>
      <c r="B12" s="213">
        <f>'BC Summary US$'!B12</f>
        <v>0</v>
      </c>
      <c r="C12" s="113"/>
      <c r="D12" s="112" t="s">
        <v>12</v>
      </c>
      <c r="E12" s="212">
        <f>'BC Summary US$'!E12</f>
        <v>0</v>
      </c>
      <c r="F12" s="113"/>
      <c r="G12" s="112" t="s">
        <v>13</v>
      </c>
      <c r="H12" s="119">
        <f>'Expected value'!P22</f>
        <v>0.6</v>
      </c>
      <c r="I12" s="113"/>
      <c r="J12" s="120" t="s">
        <v>14</v>
      </c>
      <c r="K12" s="119">
        <f>'BC Summary US$'!K12</f>
        <v>0.2</v>
      </c>
      <c r="L12" s="113"/>
      <c r="M12" s="113"/>
      <c r="N12" s="113"/>
    </row>
    <row r="13" spans="1:14" ht="15.5" x14ac:dyDescent="0.35">
      <c r="A13" s="112" t="s">
        <v>15</v>
      </c>
      <c r="B13" s="211">
        <f>'BC Summary US$'!B13</f>
        <v>541</v>
      </c>
      <c r="C13" s="113"/>
      <c r="D13" s="112" t="s">
        <v>16</v>
      </c>
      <c r="E13" s="212">
        <f>'BC Summary US$'!E13</f>
        <v>0</v>
      </c>
      <c r="F13" s="113"/>
      <c r="G13" s="112" t="s">
        <v>17</v>
      </c>
      <c r="H13" s="216">
        <f>'BC Summary US$'!H13</f>
        <v>0.96260000000000001</v>
      </c>
      <c r="I13" s="113"/>
      <c r="J13" s="120" t="s">
        <v>18</v>
      </c>
      <c r="K13" s="119">
        <f>'BC Summary US$'!K13</f>
        <v>0.5</v>
      </c>
      <c r="L13" s="113"/>
      <c r="M13" s="113"/>
      <c r="N13" s="113"/>
    </row>
    <row r="14" spans="1:14" ht="15.5" x14ac:dyDescent="0.35">
      <c r="A14" s="112" t="s">
        <v>19</v>
      </c>
      <c r="B14" s="211">
        <f>'BC Summary US$'!B14</f>
        <v>0</v>
      </c>
      <c r="C14" s="113"/>
      <c r="D14" s="112" t="s">
        <v>20</v>
      </c>
      <c r="E14" s="122">
        <f>DATEDIF(E12,E13,"m")</f>
        <v>0</v>
      </c>
      <c r="F14" s="113"/>
      <c r="G14" s="112" t="s">
        <v>21</v>
      </c>
      <c r="H14" s="216">
        <f>IF('Revenue details'!C5="EUR", 1, 1/H13)</f>
        <v>1</v>
      </c>
      <c r="I14" s="113"/>
      <c r="J14" s="120" t="s">
        <v>22</v>
      </c>
      <c r="K14" s="119">
        <f>'BC Summary US$'!K14</f>
        <v>0.3</v>
      </c>
      <c r="L14" s="113"/>
      <c r="M14" s="113"/>
      <c r="N14" s="113"/>
    </row>
    <row r="15" spans="1:14" ht="15.5" x14ac:dyDescent="0.35">
      <c r="A15" s="112" t="s">
        <v>23</v>
      </c>
      <c r="B15" s="211">
        <f>'BC Summary US$'!B15</f>
        <v>0</v>
      </c>
      <c r="C15" s="113"/>
      <c r="D15" s="112" t="s">
        <v>24</v>
      </c>
      <c r="E15" s="212">
        <f>'BC Summary US$'!E15</f>
        <v>0</v>
      </c>
      <c r="F15" s="113"/>
      <c r="G15" s="112" t="s">
        <v>25</v>
      </c>
      <c r="H15" s="211" t="str">
        <f>'BC Summary US$'!H15</f>
        <v>Standard</v>
      </c>
      <c r="I15" s="113"/>
      <c r="J15" s="113"/>
      <c r="K15" s="113"/>
      <c r="L15" s="113"/>
      <c r="M15" s="113"/>
      <c r="N15" s="113"/>
    </row>
    <row r="16" spans="1:14" ht="16" thickBot="1" x14ac:dyDescent="0.4">
      <c r="A16" s="113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1:14" ht="16" thickBot="1" x14ac:dyDescent="0.4">
      <c r="A17" s="123" t="s">
        <v>27</v>
      </c>
      <c r="B17" s="124">
        <f>YEAR(E11)</f>
        <v>2022</v>
      </c>
      <c r="C17" s="125">
        <f>B17+1</f>
        <v>2023</v>
      </c>
      <c r="D17" s="125">
        <f>C17+1</f>
        <v>2024</v>
      </c>
      <c r="E17" s="125">
        <f t="shared" ref="E17:L17" si="0">D17+1</f>
        <v>2025</v>
      </c>
      <c r="F17" s="125">
        <f t="shared" si="0"/>
        <v>2026</v>
      </c>
      <c r="G17" s="125">
        <f t="shared" si="0"/>
        <v>2027</v>
      </c>
      <c r="H17" s="125">
        <f t="shared" si="0"/>
        <v>2028</v>
      </c>
      <c r="I17" s="125">
        <f t="shared" si="0"/>
        <v>2029</v>
      </c>
      <c r="J17" s="125">
        <f t="shared" si="0"/>
        <v>2030</v>
      </c>
      <c r="K17" s="125">
        <f t="shared" si="0"/>
        <v>2031</v>
      </c>
      <c r="L17" s="126">
        <f t="shared" si="0"/>
        <v>2032</v>
      </c>
      <c r="M17" s="127" t="s">
        <v>28</v>
      </c>
      <c r="N17" s="113"/>
    </row>
    <row r="18" spans="1:14" ht="15.5" x14ac:dyDescent="0.35">
      <c r="A18" s="128" t="s">
        <v>29</v>
      </c>
      <c r="B18" s="129">
        <f>B19+B22+$H$14*SUM('Revenue details'!E190:H190)/1000</f>
        <v>0</v>
      </c>
      <c r="C18" s="130">
        <f>C19+C22+$H$14*SUM('Revenue details'!I190:L190)/1000</f>
        <v>0</v>
      </c>
      <c r="D18" s="130">
        <f>D19+D22+$H$14*SUM('Revenue details'!M190:P190)/1000</f>
        <v>0</v>
      </c>
      <c r="E18" s="130">
        <f>E19+E22+$H$14*SUM('Revenue details'!Q190:T190)/1000</f>
        <v>0</v>
      </c>
      <c r="F18" s="130">
        <f>F19+F22+$H$14*SUM('Revenue details'!U190:X190)/1000</f>
        <v>0</v>
      </c>
      <c r="G18" s="130">
        <f>G19+G22+$H$14*SUM('Revenue details'!Y190:AB190)/1000</f>
        <v>0</v>
      </c>
      <c r="H18" s="130">
        <f>H19+H22+$H$14*SUM('Revenue details'!AC190:AF190)/1000</f>
        <v>0</v>
      </c>
      <c r="I18" s="130">
        <f>I19+I22+$H$14*SUM('Revenue details'!AG190:AJ190)/1000</f>
        <v>0</v>
      </c>
      <c r="J18" s="130">
        <f>J19+J22+$H$14*SUM('Revenue details'!AK190:AN190)/1000</f>
        <v>0</v>
      </c>
      <c r="K18" s="131">
        <f>K19+K22+$H$14*SUM('Revenue details'!AO190:AR190)/1000</f>
        <v>0</v>
      </c>
      <c r="L18" s="132">
        <f>L19+L22+$H$14*SUM('Revenue details'!AS190:AV190)/1000</f>
        <v>0</v>
      </c>
      <c r="M18" s="133">
        <f>SUM(B18:L18)</f>
        <v>0</v>
      </c>
      <c r="N18" s="113"/>
    </row>
    <row r="19" spans="1:14" ht="15.5" x14ac:dyDescent="0.35">
      <c r="A19" s="134" t="s">
        <v>30</v>
      </c>
      <c r="B19" s="135">
        <f>SUM(B20:B21)</f>
        <v>0</v>
      </c>
      <c r="C19" s="136">
        <f t="shared" ref="C19:L19" si="1">SUM(C20:C21)</f>
        <v>0</v>
      </c>
      <c r="D19" s="136">
        <f t="shared" si="1"/>
        <v>0</v>
      </c>
      <c r="E19" s="136">
        <f t="shared" si="1"/>
        <v>0</v>
      </c>
      <c r="F19" s="136">
        <f t="shared" si="1"/>
        <v>0</v>
      </c>
      <c r="G19" s="136">
        <f t="shared" si="1"/>
        <v>0</v>
      </c>
      <c r="H19" s="136">
        <f t="shared" si="1"/>
        <v>0</v>
      </c>
      <c r="I19" s="136">
        <f t="shared" si="1"/>
        <v>0</v>
      </c>
      <c r="J19" s="136">
        <f t="shared" si="1"/>
        <v>0</v>
      </c>
      <c r="K19" s="137">
        <f t="shared" si="1"/>
        <v>0</v>
      </c>
      <c r="L19" s="138">
        <f t="shared" si="1"/>
        <v>0</v>
      </c>
      <c r="M19" s="139"/>
      <c r="N19" s="113"/>
    </row>
    <row r="20" spans="1:14" ht="15.5" hidden="1" outlineLevel="1" x14ac:dyDescent="0.35">
      <c r="A20" s="134" t="s">
        <v>31</v>
      </c>
      <c r="B20" s="140">
        <f>$H$14*$H$12*SUM('Revenue details'!E185:H185)/1000</f>
        <v>0</v>
      </c>
      <c r="C20" s="137">
        <f>$H$14*$H$12*SUM('Revenue details'!I185:L185)/1000</f>
        <v>0</v>
      </c>
      <c r="D20" s="137">
        <f>$H$14*$H$12*SUM('Revenue details'!M185:P185)/1000</f>
        <v>0</v>
      </c>
      <c r="E20" s="137">
        <f>$H$14*$H$12*SUM('Revenue details'!Q185:T185)/1000</f>
        <v>0</v>
      </c>
      <c r="F20" s="137">
        <f>$H$14*$H$12*SUM('Revenue details'!U185:X185)/1000</f>
        <v>0</v>
      </c>
      <c r="G20" s="137">
        <f>$H$14*$H$12*SUM('Revenue details'!Y185:AB185)/1000</f>
        <v>0</v>
      </c>
      <c r="H20" s="137">
        <f>$H$14*$H$12*SUM('Revenue details'!AC185:AF185)/1000</f>
        <v>0</v>
      </c>
      <c r="I20" s="137">
        <f>$H$14*$H$12*SUM('Revenue details'!AG185:AJ185)/1000</f>
        <v>0</v>
      </c>
      <c r="J20" s="137">
        <f>$H$14*$H$12*SUM('Revenue details'!AK185:AN185)/1000</f>
        <v>0</v>
      </c>
      <c r="K20" s="137">
        <f>$H$14*$H$12*SUM('Revenue details'!AO185:AR185)/1000</f>
        <v>0</v>
      </c>
      <c r="L20" s="141">
        <f>$H$14*$H$12*SUM('Revenue details'!AS185:AV185)/1000</f>
        <v>0</v>
      </c>
      <c r="M20" s="139"/>
      <c r="N20" s="113"/>
    </row>
    <row r="21" spans="1:14" ht="15.5" hidden="1" outlineLevel="1" x14ac:dyDescent="0.35">
      <c r="A21" s="134" t="s">
        <v>32</v>
      </c>
      <c r="B21" s="140">
        <f>$H$14*$H$12*SUM('Revenue details'!E186:H186)/1000</f>
        <v>0</v>
      </c>
      <c r="C21" s="137">
        <f>$H$14*$H$12*SUM('Revenue details'!I186:L186)/1000</f>
        <v>0</v>
      </c>
      <c r="D21" s="137">
        <f>$H$14*$H$12*SUM('Revenue details'!M186:P186)/1000</f>
        <v>0</v>
      </c>
      <c r="E21" s="137">
        <f>$H$14*$H$12*SUM('Revenue details'!Q186:T186)/1000</f>
        <v>0</v>
      </c>
      <c r="F21" s="137">
        <f>$H$14*$H$12*SUM('Revenue details'!U186:X186)/1000</f>
        <v>0</v>
      </c>
      <c r="G21" s="137">
        <f>$H$14*$H$12*SUM('Revenue details'!Y186:AB186)/1000</f>
        <v>0</v>
      </c>
      <c r="H21" s="137">
        <f>$H$14*$H$12*SUM('Revenue details'!AC186:AF186)/1000</f>
        <v>0</v>
      </c>
      <c r="I21" s="137">
        <f>$H$14*$H$12*SUM('Revenue details'!AG186:AJ186)/1000</f>
        <v>0</v>
      </c>
      <c r="J21" s="137">
        <f>$H$14*$H$12*SUM('Revenue details'!AK186:AN186)/1000</f>
        <v>0</v>
      </c>
      <c r="K21" s="137">
        <f>$H$14*$H$12*SUM('Revenue details'!AO186:AR186)/1000</f>
        <v>0</v>
      </c>
      <c r="L21" s="141">
        <f>$H$14*$H$12*SUM('Revenue details'!AS186:AV186)/1000</f>
        <v>0</v>
      </c>
      <c r="M21" s="139"/>
      <c r="N21" s="113"/>
    </row>
    <row r="22" spans="1:14" ht="15.5" collapsed="1" x14ac:dyDescent="0.35">
      <c r="A22" s="134" t="s">
        <v>33</v>
      </c>
      <c r="B22" s="135">
        <f>SUM(B23:B25)</f>
        <v>0</v>
      </c>
      <c r="C22" s="136">
        <f t="shared" ref="C22:L22" si="2">SUM(C23:C25)</f>
        <v>0</v>
      </c>
      <c r="D22" s="136">
        <f t="shared" si="2"/>
        <v>0</v>
      </c>
      <c r="E22" s="136">
        <f t="shared" si="2"/>
        <v>0</v>
      </c>
      <c r="F22" s="136">
        <f t="shared" si="2"/>
        <v>0</v>
      </c>
      <c r="G22" s="136">
        <f t="shared" si="2"/>
        <v>0</v>
      </c>
      <c r="H22" s="136">
        <f t="shared" si="2"/>
        <v>0</v>
      </c>
      <c r="I22" s="136">
        <f t="shared" si="2"/>
        <v>0</v>
      </c>
      <c r="J22" s="136">
        <f t="shared" si="2"/>
        <v>0</v>
      </c>
      <c r="K22" s="137">
        <f t="shared" si="2"/>
        <v>0</v>
      </c>
      <c r="L22" s="138">
        <f t="shared" si="2"/>
        <v>0</v>
      </c>
      <c r="M22" s="139"/>
      <c r="N22" s="113"/>
    </row>
    <row r="23" spans="1:14" ht="15.5" hidden="1" outlineLevel="1" x14ac:dyDescent="0.35">
      <c r="A23" s="134" t="s">
        <v>34</v>
      </c>
      <c r="B23" s="140">
        <f>$H$14*$H$12*SUM('Revenue details'!E187:H187)/1000</f>
        <v>0</v>
      </c>
      <c r="C23" s="137">
        <f>$H$14*$H$12*SUM('Revenue details'!I187:L187)/1000</f>
        <v>0</v>
      </c>
      <c r="D23" s="137">
        <f>$H$14*$H$12*SUM('Revenue details'!M187:P187)/1000</f>
        <v>0</v>
      </c>
      <c r="E23" s="137">
        <f>$H$14*$H$12*SUM('Revenue details'!Q187:T187)/1000</f>
        <v>0</v>
      </c>
      <c r="F23" s="137">
        <f>$H$14*$H$12*SUM('Revenue details'!U187:X187)/1000</f>
        <v>0</v>
      </c>
      <c r="G23" s="137">
        <f>$H$14*$H$12*SUM('Revenue details'!Y187:AB187)/1000</f>
        <v>0</v>
      </c>
      <c r="H23" s="137">
        <f>$H$14*$H$12*SUM('Revenue details'!AC187:AF187)/1000</f>
        <v>0</v>
      </c>
      <c r="I23" s="137">
        <f>$H$14*$H$12*SUM('Revenue details'!AG187:AJ187)/1000</f>
        <v>0</v>
      </c>
      <c r="J23" s="137">
        <f>$H$14*$H$12*SUM('Revenue details'!AK187:AN187)/1000</f>
        <v>0</v>
      </c>
      <c r="K23" s="137">
        <f>$H$14*$H$12*SUM('Revenue details'!AO187:AR187)/1000</f>
        <v>0</v>
      </c>
      <c r="L23" s="138">
        <f>$H$14*$H$12*SUM('Revenue details'!AS187:AV187)/1000</f>
        <v>0</v>
      </c>
      <c r="M23" s="139"/>
      <c r="N23" s="113"/>
    </row>
    <row r="24" spans="1:14" ht="15.5" hidden="1" outlineLevel="1" x14ac:dyDescent="0.35">
      <c r="A24" s="134" t="s">
        <v>35</v>
      </c>
      <c r="B24" s="140">
        <f>$H$14*$H$12*SUM('Revenue details'!E188:H188)/1000</f>
        <v>0</v>
      </c>
      <c r="C24" s="137">
        <f>$H$14*$H$12*SUM('Revenue details'!I188:L188)/1000</f>
        <v>0</v>
      </c>
      <c r="D24" s="137">
        <f>$H$14*$H$12*SUM('Revenue details'!M188:P188)/1000</f>
        <v>0</v>
      </c>
      <c r="E24" s="137">
        <f>$H$14*$H$12*SUM('Revenue details'!Q188:T188)/1000</f>
        <v>0</v>
      </c>
      <c r="F24" s="137">
        <f>$H$14*$H$12*SUM('Revenue details'!U188:X188)/1000</f>
        <v>0</v>
      </c>
      <c r="G24" s="137">
        <f>$H$14*$H$12*SUM('Revenue details'!Y188:AB188)/1000</f>
        <v>0</v>
      </c>
      <c r="H24" s="137">
        <f>$H$14*$H$12*SUM('Revenue details'!AC188:AF188)/1000</f>
        <v>0</v>
      </c>
      <c r="I24" s="137">
        <f>$H$14*$H$12*SUM('Revenue details'!AG188:AJ188)/1000</f>
        <v>0</v>
      </c>
      <c r="J24" s="137">
        <f>$H$14*$H$12*SUM('Revenue details'!AK188:AN188)/1000</f>
        <v>0</v>
      </c>
      <c r="K24" s="137">
        <f>$H$14*$H$12*SUM('Revenue details'!AO188:AR188)/1000</f>
        <v>0</v>
      </c>
      <c r="L24" s="138">
        <f>$H$14*$H$12*SUM('Revenue details'!AS188:AV188)/1000</f>
        <v>0</v>
      </c>
      <c r="M24" s="139"/>
      <c r="N24" s="113"/>
    </row>
    <row r="25" spans="1:14" ht="15.5" hidden="1" outlineLevel="1" x14ac:dyDescent="0.35">
      <c r="A25" s="134" t="s">
        <v>36</v>
      </c>
      <c r="B25" s="140">
        <f>$H$14*$H$12*SUM('Revenue details'!E189:H189)/1000</f>
        <v>0</v>
      </c>
      <c r="C25" s="137">
        <f>$H$14*$H$12*SUM('Revenue details'!I189:L189)/1000</f>
        <v>0</v>
      </c>
      <c r="D25" s="137">
        <f>$H$14*$H$12*SUM('Revenue details'!M189:P189)/1000</f>
        <v>0</v>
      </c>
      <c r="E25" s="137">
        <f>$H$14*$H$12*SUM('Revenue details'!Q189:T189)/1000</f>
        <v>0</v>
      </c>
      <c r="F25" s="137">
        <f>$H$14*$H$12*SUM('Revenue details'!U189:X189)/1000</f>
        <v>0</v>
      </c>
      <c r="G25" s="137">
        <f>$H$14*$H$12*SUM('Revenue details'!Y189:AB189)/1000</f>
        <v>0</v>
      </c>
      <c r="H25" s="137">
        <f>$H$14*$H$12*SUM('Revenue details'!AC189:AF189)/1000</f>
        <v>0</v>
      </c>
      <c r="I25" s="137">
        <f>$H$14*$H$12*SUM('Revenue details'!AG189:AJ189)/1000</f>
        <v>0</v>
      </c>
      <c r="J25" s="137">
        <f>$H$14*$H$12*SUM('Revenue details'!AK189:AN189)/1000</f>
        <v>0</v>
      </c>
      <c r="K25" s="137">
        <f>$H$14*$H$12*SUM('Revenue details'!AO189:AR189)/1000</f>
        <v>0</v>
      </c>
      <c r="L25" s="138">
        <f>$H$14*$H$12*SUM('Revenue details'!AS189:AV189)/1000</f>
        <v>0</v>
      </c>
      <c r="M25" s="139"/>
      <c r="N25" s="113"/>
    </row>
    <row r="26" spans="1:14" ht="15.5" collapsed="1" x14ac:dyDescent="0.35">
      <c r="A26" s="134" t="s">
        <v>37</v>
      </c>
      <c r="B26" s="140">
        <f>$H$14*$H$12*SUM('Revenue details'!E192:H192)/1000</f>
        <v>0</v>
      </c>
      <c r="C26" s="137">
        <f>$H$14*$H$12*SUM('Revenue details'!I192:L192)/1000</f>
        <v>0</v>
      </c>
      <c r="D26" s="137">
        <f>$H$14*$H$12*SUM('Revenue details'!M192:P192)/1000</f>
        <v>0</v>
      </c>
      <c r="E26" s="137">
        <f>$H$14*$H$12*SUM('Revenue details'!Q192:T192)/1000</f>
        <v>0</v>
      </c>
      <c r="F26" s="137">
        <f>$H$14*$H$12*SUM('Revenue details'!U192:X192)/1000</f>
        <v>0</v>
      </c>
      <c r="G26" s="137">
        <f>$H$14*$H$12*SUM('Revenue details'!Y192:AB192)/1000</f>
        <v>0</v>
      </c>
      <c r="H26" s="137">
        <f>$H$14*$H$12*SUM('Revenue details'!AC192:AF192)/1000</f>
        <v>0</v>
      </c>
      <c r="I26" s="137">
        <f>$H$14*$H$12*SUM('Revenue details'!AG192:AJ192)/1000</f>
        <v>0</v>
      </c>
      <c r="J26" s="137">
        <f>$H$14*$H$12*SUM('Revenue details'!AK192:AN192)/1000</f>
        <v>0</v>
      </c>
      <c r="K26" s="137">
        <f>$H$14*$H$12*SUM('Revenue details'!AO192:AR192)/1000</f>
        <v>0</v>
      </c>
      <c r="L26" s="138">
        <f>$H$14*$H$12*SUM('Revenue details'!AS192:AV192)/1000</f>
        <v>0</v>
      </c>
      <c r="M26" s="142">
        <f>SUM(B26:L26)</f>
        <v>0</v>
      </c>
      <c r="N26" s="113"/>
    </row>
    <row r="27" spans="1:14" ht="15.5" x14ac:dyDescent="0.35">
      <c r="A27" s="134" t="s">
        <v>38</v>
      </c>
      <c r="B27" s="143">
        <f>B18-B26</f>
        <v>0</v>
      </c>
      <c r="C27" s="137">
        <f t="shared" ref="C27:L27" si="3">C18-C26</f>
        <v>0</v>
      </c>
      <c r="D27" s="137">
        <f t="shared" si="3"/>
        <v>0</v>
      </c>
      <c r="E27" s="137">
        <f t="shared" si="3"/>
        <v>0</v>
      </c>
      <c r="F27" s="137">
        <f t="shared" si="3"/>
        <v>0</v>
      </c>
      <c r="G27" s="137">
        <f t="shared" si="3"/>
        <v>0</v>
      </c>
      <c r="H27" s="137">
        <f t="shared" si="3"/>
        <v>0</v>
      </c>
      <c r="I27" s="137">
        <f t="shared" si="3"/>
        <v>0</v>
      </c>
      <c r="J27" s="137">
        <f t="shared" si="3"/>
        <v>0</v>
      </c>
      <c r="K27" s="137">
        <f t="shared" si="3"/>
        <v>0</v>
      </c>
      <c r="L27" s="138">
        <f t="shared" si="3"/>
        <v>0</v>
      </c>
      <c r="M27" s="142">
        <f>SUM(B27:L27)</f>
        <v>0</v>
      </c>
      <c r="N27" s="113"/>
    </row>
    <row r="28" spans="1:14" ht="15.5" x14ac:dyDescent="0.35">
      <c r="A28" s="134" t="s">
        <v>39</v>
      </c>
      <c r="B28" s="143">
        <f>B27/(POWER((1+$H$11),0))</f>
        <v>0</v>
      </c>
      <c r="C28" s="137">
        <f>C27/(POWER((1+$H$11),1))</f>
        <v>0</v>
      </c>
      <c r="D28" s="137">
        <f>D27/(POWER((1+$H$11),2))</f>
        <v>0</v>
      </c>
      <c r="E28" s="137">
        <f>E27/(POWER((1+$H$11),3))</f>
        <v>0</v>
      </c>
      <c r="F28" s="137">
        <f>F27/(POWER((1+$H$11),4))</f>
        <v>0</v>
      </c>
      <c r="G28" s="137">
        <f>G27/(POWER((1+$H$11),5))</f>
        <v>0</v>
      </c>
      <c r="H28" s="137">
        <f>H27/(POWER((1+$H$11),6))</f>
        <v>0</v>
      </c>
      <c r="I28" s="137">
        <f>I27/(POWER((1+$H$11),7))</f>
        <v>0</v>
      </c>
      <c r="J28" s="137">
        <f>J27/(POWER((1+$H$11),8))</f>
        <v>0</v>
      </c>
      <c r="K28" s="137">
        <f>K27/(POWER((1+$H$11),9))</f>
        <v>0</v>
      </c>
      <c r="L28" s="138">
        <f>L27/(POWER((1+$H$11),10))</f>
        <v>0</v>
      </c>
      <c r="M28" s="142">
        <f>SUM(B28:L28)</f>
        <v>0</v>
      </c>
      <c r="N28" s="113"/>
    </row>
    <row r="29" spans="1:14" ht="15.5" x14ac:dyDescent="0.35">
      <c r="A29" s="134" t="s">
        <v>40</v>
      </c>
      <c r="B29" s="144">
        <f>IFERROR(B27/B18,0)</f>
        <v>0</v>
      </c>
      <c r="C29" s="119">
        <f t="shared" ref="C29:L29" si="4">IFERROR(C27/C18,0)</f>
        <v>0</v>
      </c>
      <c r="D29" s="119">
        <f>IFERROR(D27/D18,0)</f>
        <v>0</v>
      </c>
      <c r="E29" s="119">
        <f t="shared" si="4"/>
        <v>0</v>
      </c>
      <c r="F29" s="119">
        <f t="shared" si="4"/>
        <v>0</v>
      </c>
      <c r="G29" s="119">
        <f t="shared" si="4"/>
        <v>0</v>
      </c>
      <c r="H29" s="119">
        <f t="shared" si="4"/>
        <v>0</v>
      </c>
      <c r="I29" s="119">
        <f t="shared" si="4"/>
        <v>0</v>
      </c>
      <c r="J29" s="119">
        <f t="shared" si="4"/>
        <v>0</v>
      </c>
      <c r="K29" s="119">
        <f t="shared" si="4"/>
        <v>0</v>
      </c>
      <c r="L29" s="145">
        <f t="shared" si="4"/>
        <v>0</v>
      </c>
      <c r="M29" s="139"/>
      <c r="N29" s="113"/>
    </row>
    <row r="30" spans="1:14" ht="15.5" hidden="1" outlineLevel="1" x14ac:dyDescent="0.35">
      <c r="A30" s="146" t="s">
        <v>41</v>
      </c>
      <c r="B30" s="147">
        <f>$H$14*SUM('Revenue details'!E196:H196)/1000</f>
        <v>0</v>
      </c>
      <c r="C30" s="148">
        <f>$H$14*SUM('Revenue details'!I196:L196)/1000</f>
        <v>0</v>
      </c>
      <c r="D30" s="148">
        <f>$H$14*SUM('Revenue details'!M196:P196)/1000</f>
        <v>0</v>
      </c>
      <c r="E30" s="148">
        <f>$H$14*SUM('Revenue details'!Q196:T196)/1000</f>
        <v>0</v>
      </c>
      <c r="F30" s="148">
        <f>$H$14*SUM('Revenue details'!U196:X196)/1000</f>
        <v>0</v>
      </c>
      <c r="G30" s="148">
        <f>$H$14*SUM('Revenue details'!Y196:AB196)/1000</f>
        <v>0</v>
      </c>
      <c r="H30" s="148">
        <f>$H$14*SUM('Revenue details'!AC196:AF196)/1000</f>
        <v>0</v>
      </c>
      <c r="I30" s="148">
        <f>$H$14*SUM('Revenue details'!AG196:AJ196)/1000</f>
        <v>0</v>
      </c>
      <c r="J30" s="148">
        <f>$H$14*SUM('Revenue details'!AK196:AN196)/1000</f>
        <v>0</v>
      </c>
      <c r="K30" s="148">
        <f>$H$14*SUM('Revenue details'!AO196:AR196)/1000</f>
        <v>0</v>
      </c>
      <c r="L30" s="149">
        <f>$H$14*SUM('Revenue details'!AS196:AV196)/1000</f>
        <v>0</v>
      </c>
      <c r="M30" s="139"/>
      <c r="N30" s="113"/>
    </row>
    <row r="31" spans="1:14" ht="15.5" hidden="1" outlineLevel="1" x14ac:dyDescent="0.35">
      <c r="A31" s="134" t="s">
        <v>42</v>
      </c>
      <c r="B31" s="147">
        <f>$H$14*SUM('Revenue details'!E197:H197)/1000</f>
        <v>0</v>
      </c>
      <c r="C31" s="148">
        <f>$H$14*SUM('Revenue details'!I197:L197)/1000</f>
        <v>0</v>
      </c>
      <c r="D31" s="148">
        <f>$H$14*SUM('Revenue details'!M197:P197)/1000</f>
        <v>0</v>
      </c>
      <c r="E31" s="148">
        <f>$H$14*SUM('Revenue details'!Q197:T197)/1000</f>
        <v>0</v>
      </c>
      <c r="F31" s="148">
        <f>$H$14*SUM('Revenue details'!U197:X197)/1000</f>
        <v>0</v>
      </c>
      <c r="G31" s="148">
        <f>$H$14*SUM('Revenue details'!Y197:AB197)/1000</f>
        <v>0</v>
      </c>
      <c r="H31" s="148">
        <f>$H$14*SUM('Revenue details'!AC197:AF197)/1000</f>
        <v>0</v>
      </c>
      <c r="I31" s="148">
        <f>$H$14*SUM('Revenue details'!AG197:AJ197)/1000</f>
        <v>0</v>
      </c>
      <c r="J31" s="148">
        <f>$H$14*SUM('Revenue details'!AK197:AN197)/1000</f>
        <v>0</v>
      </c>
      <c r="K31" s="148">
        <f>$H$14*SUM('Revenue details'!AO197:AR197)/1000</f>
        <v>0</v>
      </c>
      <c r="L31" s="149">
        <f>$H$14*SUM('Revenue details'!AS197:AV197)/1000</f>
        <v>0</v>
      </c>
      <c r="M31" s="139"/>
      <c r="N31" s="113"/>
    </row>
    <row r="32" spans="1:14" ht="15.5" hidden="1" outlineLevel="1" x14ac:dyDescent="0.35">
      <c r="A32" s="134" t="s">
        <v>43</v>
      </c>
      <c r="B32" s="147">
        <f>$H$14*SUM('Revenue details'!E198:H198)/1000</f>
        <v>0</v>
      </c>
      <c r="C32" s="148">
        <f>$H$14*SUM('Revenue details'!I198:L198)/1000</f>
        <v>0</v>
      </c>
      <c r="D32" s="148">
        <f>$H$14*SUM('Revenue details'!M198:P198)/1000</f>
        <v>0</v>
      </c>
      <c r="E32" s="148">
        <f>$H$14*SUM('Revenue details'!Q198:T198)/1000</f>
        <v>0</v>
      </c>
      <c r="F32" s="148">
        <f>$H$14*SUM('Revenue details'!U198:X198)/1000</f>
        <v>0</v>
      </c>
      <c r="G32" s="148">
        <f>$H$14*SUM('Revenue details'!Y198:AB198)/1000</f>
        <v>0</v>
      </c>
      <c r="H32" s="148">
        <f>$H$14*SUM('Revenue details'!AC198:AF198)/1000</f>
        <v>0</v>
      </c>
      <c r="I32" s="148">
        <f>$H$14*SUM('Revenue details'!AG198:AJ198)/1000</f>
        <v>0</v>
      </c>
      <c r="J32" s="148">
        <f>$H$14*SUM('Revenue details'!AK198:AN198)/1000</f>
        <v>0</v>
      </c>
      <c r="K32" s="148">
        <f>$H$14*SUM('Revenue details'!AO198:AR198)/1000</f>
        <v>0</v>
      </c>
      <c r="L32" s="149">
        <f>$H$14*SUM('Revenue details'!AS198:AV198)/1000</f>
        <v>0</v>
      </c>
      <c r="M32" s="139"/>
      <c r="N32" s="113"/>
    </row>
    <row r="33" spans="1:14" ht="15.5" hidden="1" outlineLevel="1" x14ac:dyDescent="0.35">
      <c r="A33" s="134" t="s">
        <v>44</v>
      </c>
      <c r="B33" s="147">
        <f>$H$14*SUM('Revenue details'!E199:H199)/1000</f>
        <v>0</v>
      </c>
      <c r="C33" s="148">
        <f>$H$14*SUM('Revenue details'!I199:L199)/1000</f>
        <v>0</v>
      </c>
      <c r="D33" s="148">
        <f>$H$14*SUM('Revenue details'!M199:P199)/1000</f>
        <v>0</v>
      </c>
      <c r="E33" s="148">
        <f>$H$14*SUM('Revenue details'!Q199:T199)/1000</f>
        <v>0</v>
      </c>
      <c r="F33" s="148">
        <f>$H$14*SUM('Revenue details'!U199:X199)/1000</f>
        <v>0</v>
      </c>
      <c r="G33" s="148">
        <f>$H$14*SUM('Revenue details'!Y199:AB199)/1000</f>
        <v>0</v>
      </c>
      <c r="H33" s="148">
        <f>$H$14*SUM('Revenue details'!AC199:AF199)/1000</f>
        <v>0</v>
      </c>
      <c r="I33" s="148">
        <f>$H$14*SUM('Revenue details'!AG199:AJ199)/1000</f>
        <v>0</v>
      </c>
      <c r="J33" s="148">
        <f>$H$14*SUM('Revenue details'!AK199:AN199)/1000</f>
        <v>0</v>
      </c>
      <c r="K33" s="148">
        <f>$H$14*SUM('Revenue details'!AO199:AR199)/1000</f>
        <v>0</v>
      </c>
      <c r="L33" s="149">
        <f>$H$14*SUM('Revenue details'!AS199:AV199)/1000</f>
        <v>0</v>
      </c>
      <c r="M33" s="139"/>
      <c r="N33" s="113"/>
    </row>
    <row r="34" spans="1:14" ht="15.5" collapsed="1" x14ac:dyDescent="0.35">
      <c r="A34" s="134" t="s">
        <v>45</v>
      </c>
      <c r="B34" s="150">
        <f t="shared" ref="B34:L34" si="5">SUM(B30:B33)</f>
        <v>0</v>
      </c>
      <c r="C34" s="148">
        <f t="shared" si="5"/>
        <v>0</v>
      </c>
      <c r="D34" s="148">
        <f t="shared" si="5"/>
        <v>0</v>
      </c>
      <c r="E34" s="148">
        <f t="shared" si="5"/>
        <v>0</v>
      </c>
      <c r="F34" s="148">
        <f t="shared" si="5"/>
        <v>0</v>
      </c>
      <c r="G34" s="148">
        <f t="shared" si="5"/>
        <v>0</v>
      </c>
      <c r="H34" s="148">
        <f t="shared" si="5"/>
        <v>0</v>
      </c>
      <c r="I34" s="148">
        <f t="shared" si="5"/>
        <v>0</v>
      </c>
      <c r="J34" s="148">
        <f t="shared" si="5"/>
        <v>0</v>
      </c>
      <c r="K34" s="148">
        <f t="shared" si="5"/>
        <v>0</v>
      </c>
      <c r="L34" s="151">
        <f t="shared" si="5"/>
        <v>0</v>
      </c>
      <c r="M34" s="152">
        <f>SUM(B34:L34)</f>
        <v>0</v>
      </c>
      <c r="N34" s="113"/>
    </row>
    <row r="35" spans="1:14" ht="16" thickBot="1" x14ac:dyDescent="0.4">
      <c r="A35" s="153" t="s">
        <v>46</v>
      </c>
      <c r="B35" s="154">
        <f>B34/(POWER((1+$H$11),0))</f>
        <v>0</v>
      </c>
      <c r="C35" s="155">
        <f>C34/(POWER((1+$H$11),1))</f>
        <v>0</v>
      </c>
      <c r="D35" s="155">
        <f>D34/(POWER((1+$H$11),2))</f>
        <v>0</v>
      </c>
      <c r="E35" s="155">
        <f>E34/(POWER((1+$H$11),3))</f>
        <v>0</v>
      </c>
      <c r="F35" s="155">
        <f>F34/(POWER((1+$H$11),4))</f>
        <v>0</v>
      </c>
      <c r="G35" s="155">
        <f>G34/(POWER((1+$H$11),5))</f>
        <v>0</v>
      </c>
      <c r="H35" s="155">
        <f>H34/(POWER((1+$H$11),6))</f>
        <v>0</v>
      </c>
      <c r="I35" s="155">
        <f>I34/(POWER((1+$H$11),7))</f>
        <v>0</v>
      </c>
      <c r="J35" s="155">
        <f>J34/(POWER((1+$H$11),8))</f>
        <v>0</v>
      </c>
      <c r="K35" s="155">
        <f>K34/(POWER((1+$H$11),9))</f>
        <v>0</v>
      </c>
      <c r="L35" s="156">
        <f>L34/(POWER((1+$H$11),10))</f>
        <v>0</v>
      </c>
      <c r="M35" s="157">
        <f>SUM(B35:L35)</f>
        <v>0</v>
      </c>
      <c r="N35" s="113"/>
    </row>
    <row r="36" spans="1:14" ht="15" thickBot="1" x14ac:dyDescent="0.4"/>
    <row r="37" spans="1:14" ht="16" thickBot="1" x14ac:dyDescent="0.4">
      <c r="A37" s="158" t="s">
        <v>47</v>
      </c>
      <c r="B37" s="159" t="str">
        <f>IFERROR(M23/(SUM('Revenue details'!E6:AV6)+SUM('Revenue details'!E17:AV17)+SUM('Revenue details'!E28:AV28)+SUM('Revenue details'!E39:AV39)+SUM('Revenue details'!E50:AV50)+SUM('Revenue details'!E61:AV61)+SUM('Revenue details'!E72:AV72)+SUM('Revenue details'!E83:AV83)+SUM('Revenue details'!E94:AV94)+SUM('Revenue details'!E105:AV105)+SUM('Revenue details'!E116:AV116)+SUM('Revenue details'!E127:AV127)+SUM('Revenue details'!E138:AV138)+SUM('Revenue details'!E149:AV149)+SUM('Revenue details'!E160:AV160)),"-")</f>
        <v>-</v>
      </c>
      <c r="C37" s="113"/>
      <c r="D37" s="160"/>
      <c r="E37" s="113"/>
      <c r="F37" s="113"/>
      <c r="G37" s="113"/>
      <c r="H37" s="113"/>
      <c r="I37" s="113"/>
      <c r="J37" s="113"/>
      <c r="K37" s="113"/>
      <c r="L37" s="113"/>
      <c r="M37" s="113"/>
    </row>
    <row r="38" spans="1:14" ht="16" hidden="1" outlineLevel="1" thickBot="1" x14ac:dyDescent="0.4">
      <c r="A38" s="128" t="s">
        <v>48</v>
      </c>
      <c r="B38" s="124">
        <f t="shared" ref="B38:L38" si="6">B17</f>
        <v>2022</v>
      </c>
      <c r="C38" s="125">
        <f t="shared" si="6"/>
        <v>2023</v>
      </c>
      <c r="D38" s="125">
        <f t="shared" si="6"/>
        <v>2024</v>
      </c>
      <c r="E38" s="125">
        <f t="shared" si="6"/>
        <v>2025</v>
      </c>
      <c r="F38" s="125">
        <f t="shared" si="6"/>
        <v>2026</v>
      </c>
      <c r="G38" s="125">
        <f t="shared" si="6"/>
        <v>2027</v>
      </c>
      <c r="H38" s="125">
        <f t="shared" si="6"/>
        <v>2028</v>
      </c>
      <c r="I38" s="125">
        <f t="shared" si="6"/>
        <v>2029</v>
      </c>
      <c r="J38" s="125">
        <f t="shared" si="6"/>
        <v>2030</v>
      </c>
      <c r="K38" s="126">
        <f t="shared" si="6"/>
        <v>2031</v>
      </c>
      <c r="L38" s="161">
        <f t="shared" si="6"/>
        <v>2032</v>
      </c>
      <c r="M38" s="113"/>
    </row>
    <row r="39" spans="1:14" ht="15.5" hidden="1" outlineLevel="1" x14ac:dyDescent="0.35">
      <c r="A39" s="162" t="s">
        <v>49</v>
      </c>
      <c r="B39" s="163">
        <f>B28-B35</f>
        <v>0</v>
      </c>
      <c r="C39" s="164">
        <f t="shared" ref="C39:L39" si="7">B39+C28-C35</f>
        <v>0</v>
      </c>
      <c r="D39" s="164">
        <f t="shared" si="7"/>
        <v>0</v>
      </c>
      <c r="E39" s="164">
        <f t="shared" si="7"/>
        <v>0</v>
      </c>
      <c r="F39" s="164">
        <f t="shared" si="7"/>
        <v>0</v>
      </c>
      <c r="G39" s="164">
        <f t="shared" si="7"/>
        <v>0</v>
      </c>
      <c r="H39" s="164">
        <f t="shared" si="7"/>
        <v>0</v>
      </c>
      <c r="I39" s="164">
        <f t="shared" si="7"/>
        <v>0</v>
      </c>
      <c r="J39" s="164">
        <f t="shared" si="7"/>
        <v>0</v>
      </c>
      <c r="K39" s="164">
        <f t="shared" si="7"/>
        <v>0</v>
      </c>
      <c r="L39" s="165">
        <f t="shared" si="7"/>
        <v>0</v>
      </c>
      <c r="M39" s="113"/>
    </row>
    <row r="40" spans="1:14" ht="15.5" hidden="1" outlineLevel="1" x14ac:dyDescent="0.35">
      <c r="A40" s="166" t="s">
        <v>50</v>
      </c>
      <c r="B40" s="167">
        <f>SUM(B18)</f>
        <v>0</v>
      </c>
      <c r="C40" s="168">
        <f>SUM(B18:C18)</f>
        <v>0</v>
      </c>
      <c r="D40" s="168">
        <f>SUM($B$18:D18)</f>
        <v>0</v>
      </c>
      <c r="E40" s="168">
        <f>SUM($B$18:E18)</f>
        <v>0</v>
      </c>
      <c r="F40" s="168">
        <f>SUM($B$18:F18)</f>
        <v>0</v>
      </c>
      <c r="G40" s="168">
        <f>SUM($B$18:G18)</f>
        <v>0</v>
      </c>
      <c r="H40" s="168">
        <f>SUM($B$18:H18)</f>
        <v>0</v>
      </c>
      <c r="I40" s="168">
        <f>SUM($B$18:I18)</f>
        <v>0</v>
      </c>
      <c r="J40" s="168">
        <f>SUM($B$18:J18)</f>
        <v>0</v>
      </c>
      <c r="K40" s="168">
        <f>SUM($B$18:K18)</f>
        <v>0</v>
      </c>
      <c r="L40" s="169">
        <f>SUM($B$18:L18)</f>
        <v>0</v>
      </c>
      <c r="M40" s="113"/>
    </row>
    <row r="41" spans="1:14" ht="16" hidden="1" outlineLevel="1" thickBot="1" x14ac:dyDescent="0.4">
      <c r="A41" s="170" t="s">
        <v>51</v>
      </c>
      <c r="B41" s="171">
        <f>IFERROR(IF(B28&lt;B35,0,B35/B28),0)</f>
        <v>0</v>
      </c>
      <c r="C41" s="172">
        <f>IFERROR(IF((B28+C28)&lt;(B35+C35),0,(IF(B28&gt;B35,0,1+(B35+C35)/(B28+C28)))),0)</f>
        <v>0</v>
      </c>
      <c r="D41" s="172">
        <f>IFERROR(IF((B28+C28+D28)&lt;(B35+C35+D35),0,(IF((B28+C28)&gt;(B35+C35),0,2+(B35+C35+D35)/(B28+C28+D28)))),0)</f>
        <v>0</v>
      </c>
      <c r="E41" s="172">
        <f>IFERROR(IF((B28+C28+D28+E28)&lt;(B35+C35+D35+E35),0,(IF((B28+C28+D28)&gt;(B35+C35+D35),0,3+(B35+C35+D35+E35)/(B28+C28+D28+E28)))),0)</f>
        <v>0</v>
      </c>
      <c r="F41" s="172">
        <f>IFERROR(IF((B28+C28+D28+E28+F28)&lt;(B35+C35+D35+E35+F35),0,(IF((B28+C28+D28+E28)&gt;(B35+C35+D35+E35),0,4+(B35+C35+D35+E35+F35)/(B28+C28+D28+E28+F28)))),0)</f>
        <v>0</v>
      </c>
      <c r="G41" s="172">
        <f>IFERROR(IF((B28+C28+D28+E28+F28+G28)&lt;(B35+C35+D35+E35+F35+G35),0,(IF((B28+C28+D28+E28+F28)&gt;(B35+C35+D35+E35+F35),0,5+(B35+C35+D35+E35+F35+G35)/(B28+C28+D28+E28+F28+G28)))),0)</f>
        <v>0</v>
      </c>
      <c r="H41" s="172">
        <f>IFERROR(IF((B28+C28+D28+E28+F28+G28+H28)&lt;(B35+C35+D35+E35+F35+G35+H35),0,(IF((B28+C28+D28+E28+F28+G28)&gt;(B35+C35+D35+E35+F35+G35),0,6+(B35+C35+D35+E35+F35+G35+H35)/(B28+C28+D28+E28+F28+G28+H28)))),0)</f>
        <v>0</v>
      </c>
      <c r="I41" s="172">
        <f>IFERROR(IF((B28+C28+D28+E28+F28+G28+H28+I28)&lt;(B35+C35+D35+E35+F35+G35+H35+I35),0,(IF((B28+C28+D28+E28+F28+G28+H28)&gt;(B35+C35+D35+E35+F35+G35+H35),0,7+(B35+C35+D35+E35+F35+G35+H35+I35)/(B28+C28+D28+E28+F28+G28+H28+I28)))),0)</f>
        <v>0</v>
      </c>
      <c r="J41" s="172">
        <f>IFERROR(IF((B28+C28+D28+E28+F28+G28+H28+I28+J28)&lt;(B35+C35+D35+E35+F35+G35+H35+I35+J35),0,(IF((B28+C28+D28+E28+F28+G28+H28+I28)&gt;(B35+C35+D35+E35+F35+G35+H35+I35),0,8+(B35+C35+D35+E35+F35+G35+H35+I35+J35)/(B28+C28+D28+E28+F28+G28+H28+I28+J28)))),0)</f>
        <v>0</v>
      </c>
      <c r="K41" s="172">
        <f>IFERROR(IF((B28+C28+D28+E28+F28+G28+H28+I28+J28+K28)&lt;(B35+C35+D35+E35+F35+G35+H35+I35+J35+K35),0,(IF((B28+C28+D28+E28+F28+G28+H28+I28+J28)&gt;(B35+C35+D35+E35+F35+G35+H35+I35+J35),0,9+(B35+C35+D35+E35+F35+G35+H35+I35+J35+K35)/(B28+C28+D28+E28+F28+G28+H28+I28+J28+K28)))),0)</f>
        <v>0</v>
      </c>
      <c r="L41" s="173">
        <f>IFERROR(IF((B28+C28+D28+E28+F28+G28+H28+I28+J28+K28+L28)&lt;(B35+C35+D35+E35+F35+G35+H35+I35+J35+K35+L35),0,(IF((B28+C28+D28+E28+F28+G28+H28+I28+J28+K28)&gt;(B35+C35+D35+E35+F35+G35+H35+I35+J35+K35),0,10+(B35+C35+D35+E35+F35+G35+H35+I35+J35+K35+L35)/(B28+C28+D28+E28+F28+G28+H28+I28+J28+K28+L28)))),0)</f>
        <v>0</v>
      </c>
      <c r="M41" s="113"/>
    </row>
    <row r="42" spans="1:14" ht="15.5" collapsed="1" x14ac:dyDescent="0.35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</row>
    <row r="43" spans="1:14" ht="16" thickBot="1" x14ac:dyDescent="0.4">
      <c r="A43" s="174"/>
      <c r="B43" s="174"/>
      <c r="C43" s="175" t="s">
        <v>52</v>
      </c>
      <c r="D43" s="176"/>
      <c r="E43" s="175"/>
      <c r="F43" s="113"/>
      <c r="G43" s="113"/>
      <c r="H43" s="113"/>
      <c r="I43" s="113"/>
      <c r="J43" s="113"/>
      <c r="K43" s="113"/>
      <c r="L43" s="113"/>
      <c r="M43" s="113"/>
    </row>
    <row r="44" spans="1:14" ht="15.5" x14ac:dyDescent="0.35">
      <c r="A44" s="177" t="s">
        <v>206</v>
      </c>
      <c r="B44" s="178">
        <f>IFERROR( SUM(B28:L28)-SUM(B35:L35),"-")</f>
        <v>0</v>
      </c>
      <c r="C44" s="179" t="s">
        <v>55</v>
      </c>
      <c r="D44" s="180" t="s">
        <v>56</v>
      </c>
      <c r="E44" s="174"/>
      <c r="F44" s="113"/>
      <c r="G44" s="113"/>
      <c r="H44" s="113"/>
      <c r="I44" s="113"/>
      <c r="J44" s="113"/>
      <c r="K44" s="113"/>
      <c r="L44" s="113"/>
      <c r="M44" s="113"/>
    </row>
    <row r="45" spans="1:14" ht="15.5" x14ac:dyDescent="0.35">
      <c r="A45" s="181" t="s">
        <v>40</v>
      </c>
      <c r="B45" s="182" t="str">
        <f>IFERROR(SUM(B27:L27)/SUM(B18:L18),"-")</f>
        <v>-</v>
      </c>
      <c r="C45" s="183" t="s">
        <v>55</v>
      </c>
      <c r="D45" s="184">
        <f>IF(OR(B8="Networking",B8="Protocols"),65%,IF(H15="Standard",45%,38%))</f>
        <v>0.45</v>
      </c>
      <c r="E45" s="174"/>
      <c r="F45" s="113"/>
      <c r="G45" s="113"/>
      <c r="H45" s="113"/>
      <c r="I45" s="113"/>
      <c r="J45" s="113"/>
      <c r="K45" s="113"/>
      <c r="L45" s="113"/>
      <c r="M45" s="113"/>
    </row>
    <row r="46" spans="1:14" ht="15.5" x14ac:dyDescent="0.35">
      <c r="A46" s="181" t="s">
        <v>57</v>
      </c>
      <c r="B46" s="185" t="str">
        <f>IFERROR(IF(SUM(B35:L35)=0,"-",B44/SUM(B35:L35)),"-")</f>
        <v>-</v>
      </c>
      <c r="C46" s="186" t="s">
        <v>55</v>
      </c>
      <c r="D46" s="187">
        <v>10</v>
      </c>
      <c r="E46" s="174"/>
      <c r="F46" s="113"/>
      <c r="G46" s="113"/>
      <c r="H46" s="113"/>
      <c r="I46" s="113"/>
      <c r="J46" s="113"/>
      <c r="K46" s="113"/>
      <c r="L46" s="113"/>
      <c r="M46" s="113"/>
    </row>
    <row r="47" spans="1:14" ht="15.5" x14ac:dyDescent="0.35">
      <c r="A47" s="181" t="s">
        <v>58</v>
      </c>
      <c r="B47" s="185">
        <f>IFERROR(SUM(B41:L41),"-")</f>
        <v>0</v>
      </c>
      <c r="C47" s="188" t="s">
        <v>59</v>
      </c>
      <c r="D47" s="189">
        <v>3</v>
      </c>
      <c r="E47" s="174"/>
      <c r="F47" s="113"/>
      <c r="G47" s="113"/>
      <c r="H47" s="113"/>
      <c r="I47" s="113"/>
      <c r="J47" s="113"/>
      <c r="K47" s="113"/>
      <c r="L47" s="113"/>
      <c r="M47" s="113"/>
    </row>
    <row r="48" spans="1:14" ht="16" thickBot="1" x14ac:dyDescent="0.4">
      <c r="A48" s="190" t="s">
        <v>60</v>
      </c>
      <c r="B48" s="191" t="str">
        <f>IFERROR(IRR(B39:L39),"-")</f>
        <v>-</v>
      </c>
      <c r="C48" s="192"/>
      <c r="D48" s="193"/>
      <c r="E48" s="174"/>
      <c r="F48" s="113"/>
      <c r="G48" s="113"/>
      <c r="H48" s="113"/>
      <c r="I48" s="113"/>
      <c r="J48" s="113"/>
      <c r="K48" s="113"/>
      <c r="L48" s="113"/>
      <c r="M48" s="113"/>
    </row>
    <row r="49" spans="1:13" ht="15.5" x14ac:dyDescent="0.35">
      <c r="A49" s="174"/>
      <c r="B49" s="174"/>
      <c r="C49" s="174"/>
      <c r="D49" s="174"/>
      <c r="E49" s="174"/>
      <c r="F49" s="113"/>
      <c r="G49" s="113"/>
      <c r="H49" s="113"/>
      <c r="I49" s="113"/>
      <c r="J49" s="113"/>
      <c r="K49" s="113"/>
      <c r="L49" s="113"/>
      <c r="M49" s="113"/>
    </row>
    <row r="50" spans="1:13" ht="15.5" x14ac:dyDescent="0.3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</row>
    <row r="51" spans="1:13" ht="15.5" x14ac:dyDescent="0.3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1:13" ht="16" thickBot="1" x14ac:dyDescent="0.4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</row>
    <row r="53" spans="1:13" ht="15.5" x14ac:dyDescent="0.35">
      <c r="A53" s="194" t="s">
        <v>61</v>
      </c>
      <c r="B53" s="246" t="s">
        <v>62</v>
      </c>
      <c r="C53" s="246"/>
      <c r="D53" s="246"/>
      <c r="E53" s="195" t="s">
        <v>63</v>
      </c>
      <c r="F53" s="113"/>
      <c r="G53" s="113"/>
      <c r="H53" s="113"/>
      <c r="I53" s="113"/>
      <c r="J53" s="113"/>
      <c r="K53" s="113"/>
      <c r="L53" s="113"/>
      <c r="M53" s="113"/>
    </row>
    <row r="54" spans="1:13" ht="15.5" x14ac:dyDescent="0.35">
      <c r="A54" s="218" t="str">
        <f>IF('BC Summary US$'!A54=0,"",'BC Summary US$'!A54)</f>
        <v/>
      </c>
      <c r="B54" s="304" t="str">
        <f>IF('BC Summary US$'!B54=0,"",'BC Summary US$'!B54)</f>
        <v/>
      </c>
      <c r="C54" s="305"/>
      <c r="D54" s="306"/>
      <c r="E54" s="214" t="str">
        <f>IF('BC Summary US$'!E54=0,"",'BC Summary US$'!E54)</f>
        <v/>
      </c>
      <c r="F54" s="113"/>
      <c r="G54" s="113"/>
      <c r="H54" s="113"/>
      <c r="I54" s="113"/>
      <c r="J54" s="113"/>
      <c r="K54" s="113"/>
      <c r="L54" s="113"/>
      <c r="M54" s="113"/>
    </row>
    <row r="55" spans="1:13" ht="15.5" x14ac:dyDescent="0.35">
      <c r="A55" s="218" t="str">
        <f>IF('BC Summary US$'!A55=0,"",'BC Summary US$'!A55)</f>
        <v/>
      </c>
      <c r="B55" s="304" t="str">
        <f>IF('BC Summary US$'!B55=0,"",'BC Summary US$'!B55)</f>
        <v/>
      </c>
      <c r="C55" s="305"/>
      <c r="D55" s="306"/>
      <c r="E55" s="214" t="str">
        <f>IF('BC Summary US$'!E55=0,"",'BC Summary US$'!E55)</f>
        <v/>
      </c>
      <c r="F55" s="113"/>
      <c r="G55" s="113"/>
      <c r="H55" s="113"/>
      <c r="I55" s="113"/>
      <c r="J55" s="113"/>
      <c r="K55" s="113"/>
      <c r="L55" s="113"/>
      <c r="M55" s="113"/>
    </row>
    <row r="56" spans="1:13" ht="15.5" x14ac:dyDescent="0.35">
      <c r="A56" s="218" t="str">
        <f>IF('BC Summary US$'!A56=0,"",'BC Summary US$'!A56)</f>
        <v/>
      </c>
      <c r="B56" s="304" t="str">
        <f>IF('BC Summary US$'!B56=0,"",'BC Summary US$'!B56)</f>
        <v/>
      </c>
      <c r="C56" s="305"/>
      <c r="D56" s="306"/>
      <c r="E56" s="214" t="str">
        <f>IF('BC Summary US$'!E56=0,"",'BC Summary US$'!E56)</f>
        <v/>
      </c>
      <c r="F56" s="113"/>
      <c r="G56" s="113"/>
      <c r="H56" s="113"/>
      <c r="I56" s="113"/>
      <c r="J56" s="113"/>
      <c r="K56" s="113"/>
      <c r="L56" s="113"/>
      <c r="M56" s="113"/>
    </row>
    <row r="57" spans="1:13" ht="15.5" x14ac:dyDescent="0.35">
      <c r="A57" s="218" t="str">
        <f>IF('BC Summary US$'!A57=0,"",'BC Summary US$'!A57)</f>
        <v/>
      </c>
      <c r="B57" s="304" t="str">
        <f>IF('BC Summary US$'!B57=0,"",'BC Summary US$'!B57)</f>
        <v/>
      </c>
      <c r="C57" s="305"/>
      <c r="D57" s="306"/>
      <c r="E57" s="214" t="str">
        <f>IF('BC Summary US$'!E57=0,"",'BC Summary US$'!E57)</f>
        <v/>
      </c>
      <c r="F57" s="113"/>
      <c r="G57" s="113"/>
      <c r="H57" s="113"/>
      <c r="I57" s="113"/>
      <c r="J57" s="113"/>
      <c r="K57" s="113"/>
      <c r="L57" s="113"/>
      <c r="M57" s="113"/>
    </row>
    <row r="58" spans="1:13" ht="16" thickBot="1" x14ac:dyDescent="0.4">
      <c r="A58" s="219" t="str">
        <f>IF('BC Summary US$'!A58=0,"",'BC Summary US$'!A58)</f>
        <v/>
      </c>
      <c r="B58" s="300" t="str">
        <f>IF('BC Summary US$'!B58=0,"",'BC Summary US$'!B58)</f>
        <v/>
      </c>
      <c r="C58" s="301"/>
      <c r="D58" s="302"/>
      <c r="E58" s="215" t="str">
        <f>IF('BC Summary US$'!E58=0,"",'BC Summary US$'!E58)</f>
        <v/>
      </c>
      <c r="F58" s="113"/>
      <c r="G58" s="113"/>
      <c r="H58" s="113"/>
      <c r="I58" s="113"/>
      <c r="J58" s="113"/>
      <c r="K58" s="113"/>
      <c r="L58" s="113"/>
      <c r="M58" s="113"/>
    </row>
  </sheetData>
  <protectedRanges>
    <protectedRange sqref="A54:E58" name="Bereich9"/>
    <protectedRange sqref="K12:K14" name="Bereich8"/>
    <protectedRange sqref="H15" name="Bereich7"/>
    <protectedRange sqref="E15" name="Bereich6"/>
    <protectedRange sqref="E11:E13" name="Bereich5"/>
    <protectedRange sqref="B11:B15" name="Bereich4"/>
    <protectedRange sqref="B8" name="Bereich3"/>
    <protectedRange sqref="I3" name="Bereich2"/>
    <protectedRange sqref="E2" name="Bereich1"/>
  </protectedRanges>
  <dataConsolidate/>
  <mergeCells count="13">
    <mergeCell ref="B8:C8"/>
    <mergeCell ref="E2:G3"/>
    <mergeCell ref="I2:M2"/>
    <mergeCell ref="I3:M7"/>
    <mergeCell ref="A6:B6"/>
    <mergeCell ref="E6:G7"/>
    <mergeCell ref="B58:D58"/>
    <mergeCell ref="B9:C9"/>
    <mergeCell ref="B53:D53"/>
    <mergeCell ref="B54:D54"/>
    <mergeCell ref="B55:D55"/>
    <mergeCell ref="B56:D56"/>
    <mergeCell ref="B57:D57"/>
  </mergeCells>
  <dataValidations count="1">
    <dataValidation showDropDown="1" showInputMessage="1" showErrorMessage="1" sqref="B8:C8" xr:uid="{73685386-10A1-4875-9A40-7EA3DD47D95A}"/>
  </dataValidations>
  <pageMargins left="0.7" right="0.7" top="0.75" bottom="0.75" header="0.3" footer="0.3"/>
  <pageSetup paperSize="9" scale="53" orientation="landscape" r:id="rId1"/>
  <ignoredErrors>
    <ignoredError sqref="C32" formulaRange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D2FB6-DC25-42EE-93A4-5D6DC1A38757}">
  <sheetPr codeName="Tabelle4"/>
  <dimension ref="A1:P18"/>
  <sheetViews>
    <sheetView workbookViewId="0">
      <selection activeCell="T19" sqref="T19"/>
    </sheetView>
  </sheetViews>
  <sheetFormatPr defaultColWidth="9.1796875" defaultRowHeight="14.5" x14ac:dyDescent="0.35"/>
  <cols>
    <col min="2" max="2" width="11.81640625" bestFit="1" customWidth="1"/>
    <col min="3" max="4" width="10.1796875" bestFit="1" customWidth="1"/>
    <col min="5" max="5" width="10" bestFit="1" customWidth="1"/>
    <col min="9" max="9" width="9.1796875" bestFit="1" customWidth="1"/>
    <col min="10" max="10" width="10.1796875" style="40" bestFit="1" customWidth="1"/>
    <col min="11" max="11" width="10.1796875" bestFit="1" customWidth="1"/>
    <col min="13" max="13" width="8.54296875" bestFit="1" customWidth="1"/>
    <col min="14" max="14" width="4.453125" bestFit="1" customWidth="1"/>
    <col min="15" max="15" width="11.453125" bestFit="1" customWidth="1"/>
    <col min="16" max="16" width="10.453125" bestFit="1" customWidth="1"/>
  </cols>
  <sheetData>
    <row r="1" spans="1:16" x14ac:dyDescent="0.35">
      <c r="C1" s="40">
        <f ca="1">TODAY()</f>
        <v>45458</v>
      </c>
    </row>
    <row r="3" spans="1:16" s="6" customFormat="1" x14ac:dyDescent="0.35">
      <c r="A3" s="37" t="s">
        <v>208</v>
      </c>
      <c r="B3" s="37" t="s">
        <v>209</v>
      </c>
      <c r="C3" s="314" t="s">
        <v>210</v>
      </c>
      <c r="D3" s="314"/>
      <c r="E3" s="314"/>
      <c r="F3" s="314"/>
      <c r="G3" s="314"/>
      <c r="H3" s="37" t="s">
        <v>211</v>
      </c>
      <c r="I3" s="37" t="s">
        <v>212</v>
      </c>
      <c r="J3" s="41" t="s">
        <v>213</v>
      </c>
      <c r="K3" s="37" t="s">
        <v>214</v>
      </c>
      <c r="L3" s="37" t="s">
        <v>215</v>
      </c>
      <c r="M3" s="37" t="s">
        <v>40</v>
      </c>
      <c r="N3" s="37" t="s">
        <v>216</v>
      </c>
      <c r="O3" s="37" t="s">
        <v>217</v>
      </c>
      <c r="P3" s="37" t="s">
        <v>218</v>
      </c>
    </row>
    <row r="4" spans="1:16" s="1" customFormat="1" x14ac:dyDescent="0.35">
      <c r="A4" s="2"/>
      <c r="B4" s="2"/>
      <c r="C4" s="2">
        <f ca="1">YEAR(C1)</f>
        <v>2024</v>
      </c>
      <c r="D4" s="2">
        <f ca="1">C4+1</f>
        <v>2025</v>
      </c>
      <c r="E4" s="2">
        <f t="shared" ref="E4:G4" ca="1" si="0">D4+1</f>
        <v>2026</v>
      </c>
      <c r="F4" s="2">
        <f t="shared" ca="1" si="0"/>
        <v>2027</v>
      </c>
      <c r="G4" s="2">
        <f t="shared" ca="1" si="0"/>
        <v>2028</v>
      </c>
      <c r="H4" s="2"/>
      <c r="I4" s="2"/>
      <c r="J4" s="42"/>
      <c r="K4" s="2"/>
      <c r="L4" s="2"/>
      <c r="M4" s="2"/>
      <c r="N4" s="2"/>
      <c r="O4" s="2"/>
      <c r="P4" s="2"/>
    </row>
    <row r="5" spans="1:16" x14ac:dyDescent="0.35">
      <c r="A5" s="3"/>
      <c r="B5" s="3"/>
      <c r="C5" s="3"/>
      <c r="D5" s="3"/>
      <c r="E5" s="3"/>
      <c r="F5" s="3"/>
      <c r="G5" s="3"/>
      <c r="H5" s="3"/>
      <c r="I5" s="3"/>
      <c r="J5" s="35"/>
      <c r="K5" s="3"/>
      <c r="L5" s="3"/>
      <c r="M5" s="3"/>
      <c r="N5" s="3"/>
      <c r="O5" s="3"/>
      <c r="P5" s="3"/>
    </row>
    <row r="6" spans="1:16" x14ac:dyDescent="0.35">
      <c r="A6" s="3">
        <f>'BC Summary US$'!B8</f>
        <v>0</v>
      </c>
      <c r="B6" s="3">
        <f>'BC Summary US$'!E2</f>
        <v>0</v>
      </c>
      <c r="C6" s="34">
        <f ca="1">INDEX('BC Summary US$'!$B$18:$F$18, MATCH('Data for KPIs'!C4,'BC Summary US$'!$B$17:$F$17,1))</f>
        <v>0</v>
      </c>
      <c r="D6" s="34">
        <f ca="1">INDEX('BC Summary US$'!$B$18:$F$18, MATCH('Data for KPIs'!D4,'BC Summary US$'!$B$17:$F$17,1))</f>
        <v>0</v>
      </c>
      <c r="E6" s="34">
        <f ca="1">INDEX('BC Summary US$'!$B$18:$F$18, MATCH('Data for KPIs'!E4,'BC Summary US$'!$B$17:$F$17,1))</f>
        <v>0</v>
      </c>
      <c r="F6" s="34">
        <f ca="1">INDEX('BC Summary US$'!$B$18:$F$18, MATCH('Data for KPIs'!F4,'BC Summary US$'!$B$17:$F$17,1))</f>
        <v>0</v>
      </c>
      <c r="G6" s="34">
        <f ca="1">INDEX('BC Summary US$'!$B$18:$F$18, MATCH('Data for KPIs'!G4,'BC Summary US$'!$B$17:$F$17,1))</f>
        <v>0</v>
      </c>
      <c r="H6" s="34">
        <f>'BC Summary US$'!B9</f>
        <v>0</v>
      </c>
      <c r="I6" s="3">
        <f>'BC Summary US$'!B13</f>
        <v>541</v>
      </c>
      <c r="J6" s="35">
        <f>'BC Summary US$'!E15</f>
        <v>0</v>
      </c>
      <c r="K6" s="35">
        <f>'BC Summary US$'!E12</f>
        <v>0</v>
      </c>
      <c r="L6" s="3">
        <f>DATEDIF('BC Summary US$'!E12,'BC Summary US$'!E13,"m")</f>
        <v>0</v>
      </c>
      <c r="M6" s="75">
        <f>'BC Summary US$'!B45</f>
        <v>0.7</v>
      </c>
      <c r="N6" s="34">
        <f>'BC Summary US$'!B44</f>
        <v>230</v>
      </c>
      <c r="O6" s="34">
        <f>SUM('BC Summary US$'!B34:L34)</f>
        <v>0</v>
      </c>
      <c r="P6" s="34">
        <f>'BC Summary US$'!B46</f>
        <v>5</v>
      </c>
    </row>
    <row r="10" spans="1:16" x14ac:dyDescent="0.35">
      <c r="B10" s="6"/>
      <c r="C10" s="6"/>
      <c r="D10" s="6"/>
      <c r="E10" s="6"/>
    </row>
    <row r="11" spans="1:16" x14ac:dyDescent="0.35">
      <c r="B11" s="1"/>
      <c r="C11" s="1"/>
      <c r="D11" s="1"/>
      <c r="E11" s="1"/>
    </row>
    <row r="13" spans="1:16" x14ac:dyDescent="0.35">
      <c r="D13" s="40"/>
      <c r="E13" s="40"/>
    </row>
    <row r="15" spans="1:16" x14ac:dyDescent="0.35">
      <c r="F15" s="39"/>
      <c r="G15" s="39"/>
      <c r="H15" s="39"/>
      <c r="I15" s="39"/>
      <c r="J15" s="43"/>
      <c r="K15" s="6"/>
      <c r="L15" s="6"/>
      <c r="M15" s="6"/>
      <c r="N15" s="6"/>
      <c r="O15" s="6"/>
      <c r="P15" s="6"/>
    </row>
    <row r="16" spans="1:16" x14ac:dyDescent="0.35">
      <c r="F16" s="1"/>
      <c r="G16" s="1"/>
      <c r="H16" s="1"/>
      <c r="I16" s="1"/>
      <c r="J16" s="44"/>
      <c r="K16" s="1"/>
      <c r="L16" s="1"/>
      <c r="M16" s="1"/>
      <c r="N16" s="1"/>
      <c r="O16" s="1"/>
      <c r="P16" s="1"/>
    </row>
    <row r="18" spans="6:16" x14ac:dyDescent="0.35">
      <c r="F18" s="38"/>
      <c r="I18" s="38"/>
      <c r="K18" s="38"/>
      <c r="L18" s="38"/>
      <c r="M18" s="38"/>
      <c r="N18" s="38"/>
      <c r="O18" s="38"/>
      <c r="P18" s="38"/>
    </row>
  </sheetData>
  <mergeCells count="1">
    <mergeCell ref="C3:G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4953A3E8C7074BBEF18EE3843479E7" ma:contentTypeVersion="24" ma:contentTypeDescription="Create a new document." ma:contentTypeScope="" ma:versionID="d9b81e7c24709e4fafb4b09ccea67cd5">
  <xsd:schema xmlns:xsd="http://www.w3.org/2001/XMLSchema" xmlns:xs="http://www.w3.org/2001/XMLSchema" xmlns:p="http://schemas.microsoft.com/office/2006/metadata/properties" xmlns:ns2="143b2c1f-65fc-4b89-a5ed-b1a1edba9904" xmlns:ns3="dad90ffc-8ba3-409e-ab3e-4e46c32bf1f4" targetNamespace="http://schemas.microsoft.com/office/2006/metadata/properties" ma:root="true" ma:fieldsID="925f5bc9b63645d300b7ef9740e53c30" ns2:_="" ns3:_="">
    <xsd:import namespace="143b2c1f-65fc-4b89-a5ed-b1a1edba9904"/>
    <xsd:import namespace="dad90ffc-8ba3-409e-ab3e-4e46c32bf1f4"/>
    <xsd:element name="properties">
      <xsd:complexType>
        <xsd:sequence>
          <xsd:element name="documentManagement">
            <xsd:complexType>
              <xsd:all>
                <xsd:element ref="ns2:Owner" minOccurs="0"/>
                <xsd:element ref="ns2:Status"/>
                <xsd:element ref="ns2:Remarks" minOccurs="0"/>
                <xsd:element ref="ns3:i03c5dd4c3c844679420dfd62891a5f8" minOccurs="0"/>
                <xsd:element ref="ns3:TaxCatchAll" minOccurs="0"/>
                <xsd:element ref="ns3:TaxCatchAllLabel" minOccurs="0"/>
                <xsd:element ref="ns3:l26e3260113946c3b1fddecd05a77138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3b2c1f-65fc-4b89-a5ed-b1a1edba9904" elementFormDefault="qualified">
    <xsd:import namespace="http://schemas.microsoft.com/office/2006/documentManagement/types"/>
    <xsd:import namespace="http://schemas.microsoft.com/office/infopath/2007/PartnerControls"/>
    <xsd:element name="Owner" ma:index="4" nillable="true" ma:displayName="Owner" ma:list="UserInfo" ma:SearchPeopleOnly="false" ma:SharePointGroup="0" ma:internalName="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5" ma:displayName="Status" ma:default="Entwurf" ma:format="Dropdown" ma:internalName="Status" ma:readOnly="false">
      <xsd:simpleType>
        <xsd:restriction base="dms:Choice">
          <xsd:enumeration value="Entwurf"/>
          <xsd:enumeration value="Bereit zur Durchsicht"/>
          <xsd:enumeration value="Endgültig"/>
          <xsd:enumeration value="Gesperrt"/>
        </xsd:restriction>
      </xsd:simpleType>
    </xsd:element>
    <xsd:element name="Remarks" ma:index="7" nillable="true" ma:displayName="Remarks" ma:internalName="Remarks" ma:readOnly="false">
      <xsd:simpleType>
        <xsd:restriction base="dms:Text">
          <xsd:maxLength value="255"/>
        </xsd:restriction>
      </xsd:simpleType>
    </xsd:element>
    <xsd:element name="MediaServiceMetadata" ma:index="1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0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47c053-a37a-4943-8f13-38ec4056dc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d90ffc-8ba3-409e-ab3e-4e46c32bf1f4" elementFormDefault="qualified">
    <xsd:import namespace="http://schemas.microsoft.com/office/2006/documentManagement/types"/>
    <xsd:import namespace="http://schemas.microsoft.com/office/infopath/2007/PartnerControls"/>
    <xsd:element name="i03c5dd4c3c844679420dfd62891a5f8" ma:index="13" ma:taxonomy="true" ma:internalName="i03c5dd4c3c844679420dfd62891a5f8" ma:taxonomyFieldName="Data_x0020_Classification" ma:displayName="Data Classification" ma:default="3;#Internal|9a08b9d1-016a-4501-848f-eca67c8cf7e4" ma:fieldId="{203c5dd4-c3c8-4467-9420-dfd62891a5f8}" ma:sspId="3347c053-a37a-4943-8f13-38ec4056dc7b" ma:termSetId="773b3c22-6b7c-456e-9fb1-28f929ef587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1f46c561-eb33-4efa-b79b-de284ba695d0}" ma:internalName="TaxCatchAll" ma:showField="CatchAllData" ma:web="dad90ffc-8ba3-409e-ab3e-4e46c32bf1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1f46c561-eb33-4efa-b79b-de284ba695d0}" ma:internalName="TaxCatchAllLabel" ma:readOnly="true" ma:showField="CatchAllDataLabel" ma:web="dad90ffc-8ba3-409e-ab3e-4e46c32bf1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26e3260113946c3b1fddecd05a77138" ma:index="17" nillable="true" ma:taxonomy="true" ma:internalName="l26e3260113946c3b1fddecd05a77138" ma:taxonomyFieldName="Functional_x0020_Area" ma:displayName="Functional Area" ma:default="4;#Industrial Automation Solutions|436649f2-c286-44d2-9dbd-30fa3989839a" ma:fieldId="{526e3260-1139-46c3-b1fd-decd05a77138}" ma:sspId="3347c053-a37a-4943-8f13-38ec4056dc7b" ma:termSetId="fe1a6a9a-dc25-4f2e-9944-96935bf64855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ks xmlns="143b2c1f-65fc-4b89-a5ed-b1a1edba9904" xsi:nil="true"/>
    <Owner xmlns="143b2c1f-65fc-4b89-a5ed-b1a1edba9904">
      <UserInfo>
        <DisplayName/>
        <AccountId xsi:nil="true"/>
        <AccountType/>
      </UserInfo>
    </Owner>
    <Status xmlns="143b2c1f-65fc-4b89-a5ed-b1a1edba9904">Endgültig</Status>
    <l26e3260113946c3b1fddecd05a77138 xmlns="dad90ffc-8ba3-409e-ab3e-4e46c32bf1f4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Industrial Automation Solutions</TermName>
          <TermId xmlns="http://schemas.microsoft.com/office/infopath/2007/PartnerControls">436649f2-c286-44d2-9dbd-30fa3989839a</TermId>
        </TermInfo>
      </Terms>
    </l26e3260113946c3b1fddecd05a77138>
    <i03c5dd4c3c844679420dfd62891a5f8 xmlns="dad90ffc-8ba3-409e-ab3e-4e46c32bf1f4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Internal</TermName>
          <TermId xmlns="http://schemas.microsoft.com/office/infopath/2007/PartnerControls">9a08b9d1-016a-4501-848f-eca67c8cf7e4</TermId>
        </TermInfo>
      </Terms>
    </i03c5dd4c3c844679420dfd62891a5f8>
    <TaxCatchAll xmlns="dad90ffc-8ba3-409e-ab3e-4e46c32bf1f4">
      <Value>4</Value>
      <Value>3</Value>
    </TaxCatchAll>
    <lcf76f155ced4ddcb4097134ff3c332f xmlns="143b2c1f-65fc-4b89-a5ed-b1a1edba990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180D498E-0D50-49F5-B9D2-BA9D842999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3b2c1f-65fc-4b89-a5ed-b1a1edba9904"/>
    <ds:schemaRef ds:uri="dad90ffc-8ba3-409e-ab3e-4e46c32bf1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645A90-F9EF-4C89-BFD3-EC9D97F37EA5}">
  <ds:schemaRefs>
    <ds:schemaRef ds:uri="http://schemas.microsoft.com/office/2006/metadata/properties"/>
    <ds:schemaRef ds:uri="http://schemas.microsoft.com/office/infopath/2007/PartnerControls"/>
    <ds:schemaRef ds:uri="143b2c1f-65fc-4b89-a5ed-b1a1edba9904"/>
    <ds:schemaRef ds:uri="dad90ffc-8ba3-409e-ab3e-4e46c32bf1f4"/>
  </ds:schemaRefs>
</ds:datastoreItem>
</file>

<file path=customXml/itemProps3.xml><?xml version="1.0" encoding="utf-8"?>
<ds:datastoreItem xmlns:ds="http://schemas.openxmlformats.org/officeDocument/2006/customXml" ds:itemID="{13A9DF48-BFFC-4BD7-8F5C-FCD6E2F448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TP Import</vt:lpstr>
      <vt:lpstr>BC Summary US$</vt:lpstr>
      <vt:lpstr>Expected value</vt:lpstr>
      <vt:lpstr>Revenue details</vt:lpstr>
      <vt:lpstr>Delta method</vt:lpstr>
      <vt:lpstr>Financial Terms</vt:lpstr>
      <vt:lpstr>BC Summary US$ (EV)</vt:lpstr>
      <vt:lpstr>BC Summary €</vt:lpstr>
      <vt:lpstr>BC Summary € (EV)</vt:lpstr>
      <vt:lpstr>Data for KPIs</vt:lpstr>
      <vt:lpstr>'BC Summary €'!Print_Area</vt:lpstr>
      <vt:lpstr>'BC Summary € (EV)'!Print_Area</vt:lpstr>
      <vt:lpstr>'BC Summary US$'!Print_Area</vt:lpstr>
      <vt:lpstr>'BC Summary US$ (EV)'!Print_Area</vt:lpstr>
    </vt:vector>
  </TitlesOfParts>
  <Manager/>
  <Company>Belden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PBC | PBC_Project-ID_Project-title_YYYY-MM-DD_2v1</dc:title>
  <dc:subject/>
  <dc:creator>Lab Hang Ren</dc:creator>
  <cp:keywords/>
  <dc:description/>
  <cp:lastModifiedBy>Shivam Vora</cp:lastModifiedBy>
  <cp:revision/>
  <dcterms:created xsi:type="dcterms:W3CDTF">2021-02-02T09:05:55Z</dcterms:created>
  <dcterms:modified xsi:type="dcterms:W3CDTF">2024-06-15T07:10:55Z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nctional Area">
    <vt:lpwstr>4;#Industrial Automation Solutions|436649f2-c286-44d2-9dbd-30fa3989839a</vt:lpwstr>
  </property>
  <property fmtid="{D5CDD505-2E9C-101B-9397-08002B2CF9AE}" pid="3" name="ContentTypeId">
    <vt:lpwstr>0x0101000A4953A3E8C7074BBEF18EE3843479E7</vt:lpwstr>
  </property>
  <property fmtid="{D5CDD505-2E9C-101B-9397-08002B2CF9AE}" pid="4" name="Data Classification">
    <vt:lpwstr>3;#Internal|9a08b9d1-016a-4501-848f-eca67c8cf7e4</vt:lpwstr>
  </property>
  <property fmtid="{D5CDD505-2E9C-101B-9397-08002B2CF9AE}" pid="5" name="MediaServiceImageTags">
    <vt:lpwstr/>
  </property>
</Properties>
</file>